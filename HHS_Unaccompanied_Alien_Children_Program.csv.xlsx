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2B9F038D-75AB-4CB7-B00A-6CF0065F5CF8}" xr6:coauthVersionLast="47" xr6:coauthVersionMax="47" xr10:uidLastSave="{00000000-0000-0000-0000-000000000000}"/>
  <bookViews>
    <workbookView xWindow="-108" yWindow="-108" windowWidth="23256" windowHeight="12456" activeTab="4" xr2:uid="{6F83F282-1E45-4D17-9797-0CC979AA3CD6}"/>
  </bookViews>
  <sheets>
    <sheet name="RAW_DATA" sheetId="1" r:id="rId1"/>
    <sheet name="CLEAN_DATA" sheetId="2" r:id="rId2"/>
    <sheet name="PIVOT_TABLE" sheetId="8" r:id="rId3"/>
    <sheet name="PIVOT_CHART" sheetId="10" r:id="rId4"/>
    <sheet name="DATA_ANALYSIS" sheetId="3" r:id="rId5"/>
  </sheets>
  <definedNames>
    <definedName name="NativeTimeline_Date">#N/A</definedName>
    <definedName name="Slicer_Months__Date">#N/A</definedName>
    <definedName name="Slicer_Years_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3" l="1"/>
  <c r="F7" i="3"/>
  <c r="F6" i="3"/>
  <c r="F4" i="3"/>
  <c r="A593" i="2"/>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345" i="2"/>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101" i="2"/>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00" i="2"/>
  <c r="A58" i="2"/>
  <c r="A59" i="2" s="1"/>
  <c r="A60" i="2" s="1"/>
  <c r="A61" i="2" s="1"/>
  <c r="A62" i="2" s="1"/>
  <c r="A63" i="2" s="1"/>
  <c r="A64" i="2" s="1"/>
  <c r="A65" i="2" s="1"/>
  <c r="A66" i="2" s="1"/>
  <c r="A67" i="2" s="1"/>
  <c r="A68" i="2" s="1"/>
  <c r="A69" i="2" s="1"/>
  <c r="A70" i="2" s="1"/>
  <c r="A71" i="2" s="1"/>
  <c r="A72" i="2" s="1"/>
  <c r="A73" i="2" s="1"/>
  <c r="A74" i="2" s="1"/>
  <c r="A75" i="2" s="1"/>
  <c r="A76" i="2" s="1"/>
  <c r="A77" i="2" s="1"/>
  <c r="A78" i="2" s="1"/>
  <c r="A311" i="2"/>
  <c r="A312" i="2" s="1"/>
  <c r="A313" i="2" s="1"/>
  <c r="A314" i="2" s="1"/>
  <c r="A315" i="2" s="1"/>
  <c r="A316" i="2" s="1"/>
  <c r="A317" i="2" s="1"/>
  <c r="A318" i="2" s="1"/>
  <c r="A319" i="2" s="1"/>
  <c r="A320" i="2" s="1"/>
  <c r="A321" i="2" s="1"/>
  <c r="A322" i="2" s="1"/>
  <c r="A323" i="2" s="1"/>
  <c r="A324" i="2" s="1"/>
  <c r="A306" i="2"/>
  <c r="A307" i="2" s="1"/>
  <c r="A308" i="2" s="1"/>
  <c r="A309" i="2" s="1"/>
  <c r="A569" i="2"/>
  <c r="A570" i="2" s="1"/>
  <c r="A571" i="2" s="1"/>
  <c r="A564" i="2"/>
  <c r="A565" i="2" s="1"/>
  <c r="A566" i="2" s="1"/>
  <c r="A567" i="2" s="1"/>
  <c r="A559" i="2"/>
  <c r="A560" i="2" s="1"/>
  <c r="A561" i="2" s="1"/>
  <c r="A562" i="2" s="1"/>
  <c r="A557" i="2"/>
  <c r="I15" i="3"/>
  <c r="I14" i="3"/>
  <c r="I13" i="3"/>
  <c r="I12" i="3"/>
  <c r="I11" i="3"/>
  <c r="H15" i="3"/>
  <c r="H14" i="3"/>
  <c r="H13" i="3"/>
  <c r="H12" i="3"/>
  <c r="H11" i="3"/>
  <c r="G15" i="3"/>
  <c r="G14" i="3"/>
  <c r="G13" i="3"/>
  <c r="G12" i="3"/>
  <c r="G11" i="3"/>
  <c r="F14" i="3"/>
  <c r="F15" i="3"/>
  <c r="F12" i="3"/>
  <c r="F13" i="3"/>
  <c r="F11" i="3"/>
  <c r="F5" i="3" l="1"/>
</calcChain>
</file>

<file path=xl/sharedStrings.xml><?xml version="1.0" encoding="utf-8"?>
<sst xmlns="http://schemas.openxmlformats.org/spreadsheetml/2006/main" count="915" uniqueCount="804">
  <si>
    <t>Date</t>
  </si>
  <si>
    <t>Children apprehended and placed in CBP custody*</t>
  </si>
  <si>
    <t>Children in CBP custody</t>
  </si>
  <si>
    <t>Children transferred out of CBP custody</t>
  </si>
  <si>
    <t>Children in HHS Care</t>
  </si>
  <si>
    <t>Children discharged from HHS Care</t>
  </si>
  <si>
    <t>December 21, 2025</t>
  </si>
  <si>
    <t>December 18, 2025</t>
  </si>
  <si>
    <t>December 17, 2025</t>
  </si>
  <si>
    <t>December 16, 2025</t>
  </si>
  <si>
    <t>December 15, 2025</t>
  </si>
  <si>
    <t>December 14, 2025</t>
  </si>
  <si>
    <t>December 11, 2025</t>
  </si>
  <si>
    <t>December 10, 2025</t>
  </si>
  <si>
    <t>December 09, 2025</t>
  </si>
  <si>
    <t>December 08, 2025</t>
  </si>
  <si>
    <t>December 07, 2025</t>
  </si>
  <si>
    <t>December 04, 2025</t>
  </si>
  <si>
    <t>December 03, 2025</t>
  </si>
  <si>
    <t>December 02, 2025</t>
  </si>
  <si>
    <t>December 01, 2025</t>
  </si>
  <si>
    <t>November 30, 2025</t>
  </si>
  <si>
    <t>November 27, 2025</t>
  </si>
  <si>
    <t>November 25, 2025</t>
  </si>
  <si>
    <t>November 24, 2025</t>
  </si>
  <si>
    <t>November 23, 2025</t>
  </si>
  <si>
    <t>November 20, 2025</t>
  </si>
  <si>
    <t>November 19, 2025</t>
  </si>
  <si>
    <t>November 18, 2025</t>
  </si>
  <si>
    <t>November 17, 2025</t>
  </si>
  <si>
    <t>November 16, 2025</t>
  </si>
  <si>
    <t>November 13, 2025</t>
  </si>
  <si>
    <t>November 12, 2025</t>
  </si>
  <si>
    <t>November 11, 2025</t>
  </si>
  <si>
    <t>November 09, 2025</t>
  </si>
  <si>
    <t>November 06, 2025</t>
  </si>
  <si>
    <t>November 05, 2025</t>
  </si>
  <si>
    <t>November 04, 2025</t>
  </si>
  <si>
    <t>November 03, 2025</t>
  </si>
  <si>
    <t>November 02, 2025</t>
  </si>
  <si>
    <t>October 30, 2025</t>
  </si>
  <si>
    <t>October 29, 2025</t>
  </si>
  <si>
    <t>October 28, 2025</t>
  </si>
  <si>
    <t>October 27, 2025</t>
  </si>
  <si>
    <t>October 26, 2025</t>
  </si>
  <si>
    <t>October 23, 2025</t>
  </si>
  <si>
    <t>October 22, 2025</t>
  </si>
  <si>
    <t>October 21, 2025</t>
  </si>
  <si>
    <t>October 20, 2025</t>
  </si>
  <si>
    <t>October 19, 2025</t>
  </si>
  <si>
    <t>October 16, 2025</t>
  </si>
  <si>
    <t>October 15, 2025</t>
  </si>
  <si>
    <t>October 14, 2025</t>
  </si>
  <si>
    <t>October 13, 2025</t>
  </si>
  <si>
    <t>October 09, 2025</t>
  </si>
  <si>
    <t>October 08, 2025</t>
  </si>
  <si>
    <t>October 07, 2025</t>
  </si>
  <si>
    <t>October 06, 2025</t>
  </si>
  <si>
    <t>October 05, 2025</t>
  </si>
  <si>
    <t>October 02, 2025</t>
  </si>
  <si>
    <t>October 01, 2025</t>
  </si>
  <si>
    <t>September 30, 2025</t>
  </si>
  <si>
    <t>September 29, 2025</t>
  </si>
  <si>
    <t>September 28, 2025</t>
  </si>
  <si>
    <t>September 25, 2025</t>
  </si>
  <si>
    <t>September 24, 2025</t>
  </si>
  <si>
    <t>September 23, 2025</t>
  </si>
  <si>
    <t>September 22, 2025</t>
  </si>
  <si>
    <t>September 21, 2025</t>
  </si>
  <si>
    <t>September 18, 2025</t>
  </si>
  <si>
    <t>September 17, 2025</t>
  </si>
  <si>
    <t>September 16, 2025</t>
  </si>
  <si>
    <t>September 15, 2025</t>
  </si>
  <si>
    <t>September 14, 2025</t>
  </si>
  <si>
    <t>September 11, 2025</t>
  </si>
  <si>
    <t>September 10, 2025</t>
  </si>
  <si>
    <t>September 09, 2025</t>
  </si>
  <si>
    <t>September 08, 2025</t>
  </si>
  <si>
    <t>September 07, 2025</t>
  </si>
  <si>
    <t>September 04, 2025</t>
  </si>
  <si>
    <t>September 03, 2025</t>
  </si>
  <si>
    <t>September 02, 2025</t>
  </si>
  <si>
    <t>September 01, 2025</t>
  </si>
  <si>
    <t>August 28, 2025</t>
  </si>
  <si>
    <t>August 27, 2025</t>
  </si>
  <si>
    <t>August 26, 2025</t>
  </si>
  <si>
    <t>August 25, 2025</t>
  </si>
  <si>
    <t>August 24, 2025</t>
  </si>
  <si>
    <t>August 21, 2025</t>
  </si>
  <si>
    <t>August 20, 2025</t>
  </si>
  <si>
    <t>August 19, 2025</t>
  </si>
  <si>
    <t>August 18, 2025</t>
  </si>
  <si>
    <t>August 17, 2025</t>
  </si>
  <si>
    <t>August 14, 2025</t>
  </si>
  <si>
    <t>August 13, 2025</t>
  </si>
  <si>
    <t>August 12, 2025</t>
  </si>
  <si>
    <t>August 11, 2025</t>
  </si>
  <si>
    <t>August 10, 2025</t>
  </si>
  <si>
    <t>August 07, 2025</t>
  </si>
  <si>
    <t>August 06, 2025</t>
  </si>
  <si>
    <t>August 05, 2025</t>
  </si>
  <si>
    <t>August 04, 2025</t>
  </si>
  <si>
    <t>August 03, 2025</t>
  </si>
  <si>
    <t>July 31, 2025</t>
  </si>
  <si>
    <t>July 30, 2025</t>
  </si>
  <si>
    <t>July 29, 2025</t>
  </si>
  <si>
    <t>July 28, 2025</t>
  </si>
  <si>
    <t>July 27, 2025</t>
  </si>
  <si>
    <t>July 24, 2025</t>
  </si>
  <si>
    <t>July 23, 2025</t>
  </si>
  <si>
    <t>July 22, 2025</t>
  </si>
  <si>
    <t>July 21, 2025</t>
  </si>
  <si>
    <t>July 17, 2025</t>
  </si>
  <si>
    <t>July 16, 2025</t>
  </si>
  <si>
    <t>July 15, 2025</t>
  </si>
  <si>
    <t>July 14, 2025</t>
  </si>
  <si>
    <t>July 13, 2025</t>
  </si>
  <si>
    <t>July 10, 2025</t>
  </si>
  <si>
    <t>July 09, 2025</t>
  </si>
  <si>
    <t>July 08, 2025</t>
  </si>
  <si>
    <t>July 07, 2025</t>
  </si>
  <si>
    <t>July 06, 2025</t>
  </si>
  <si>
    <t>July 02, 2025</t>
  </si>
  <si>
    <t>July 01, 2025</t>
  </si>
  <si>
    <t>June 30, 2025</t>
  </si>
  <si>
    <t>June 29, 2025</t>
  </si>
  <si>
    <t>June 26, 2025</t>
  </si>
  <si>
    <t>June 25, 2025</t>
  </si>
  <si>
    <t>June 24, 2025</t>
  </si>
  <si>
    <t>June 23, 2025</t>
  </si>
  <si>
    <t>June 22, 2025</t>
  </si>
  <si>
    <t>June 19, 2025</t>
  </si>
  <si>
    <t>June 17, 2025</t>
  </si>
  <si>
    <t>June 10, 2025</t>
  </si>
  <si>
    <t>June 09, 2025</t>
  </si>
  <si>
    <t>June 08, 2025</t>
  </si>
  <si>
    <t>June 05, 2025</t>
  </si>
  <si>
    <t>June 04, 2025</t>
  </si>
  <si>
    <t>June 03, 2025</t>
  </si>
  <si>
    <t>June 02, 2025</t>
  </si>
  <si>
    <t>June 01, 2025</t>
  </si>
  <si>
    <t>May 29, 2025</t>
  </si>
  <si>
    <t>May 28, 2025</t>
  </si>
  <si>
    <t>May 27, 2025</t>
  </si>
  <si>
    <t>May 22, 2025</t>
  </si>
  <si>
    <t>May 21, 2025</t>
  </si>
  <si>
    <t>May 19, 2025</t>
  </si>
  <si>
    <t>May 18, 2025</t>
  </si>
  <si>
    <t>May 15, 2025</t>
  </si>
  <si>
    <t>May 14, 2025</t>
  </si>
  <si>
    <t>May 13, 2025</t>
  </si>
  <si>
    <t>May 12, 2025</t>
  </si>
  <si>
    <t>May 11, 2025</t>
  </si>
  <si>
    <t>May 08, 2025</t>
  </si>
  <si>
    <t>May 07, 2025</t>
  </si>
  <si>
    <t>May 06, 2025</t>
  </si>
  <si>
    <t>May 05, 2025</t>
  </si>
  <si>
    <t>May 04, 2025</t>
  </si>
  <si>
    <t>May 01, 2025</t>
  </si>
  <si>
    <t>April 30, 2025</t>
  </si>
  <si>
    <t>April 29, 2025</t>
  </si>
  <si>
    <t>April 28, 2025</t>
  </si>
  <si>
    <t>April 27, 2025</t>
  </si>
  <si>
    <t>April 24, 2025</t>
  </si>
  <si>
    <t>April 23, 2025</t>
  </si>
  <si>
    <t>April 22, 2025</t>
  </si>
  <si>
    <t>April 21, 2025</t>
  </si>
  <si>
    <t>April 20, 2025</t>
  </si>
  <si>
    <t>April 17, 2025</t>
  </si>
  <si>
    <t>April 16, 2025</t>
  </si>
  <si>
    <t>April 15, 2025</t>
  </si>
  <si>
    <t>April 14, 2025</t>
  </si>
  <si>
    <t>April 13, 2025</t>
  </si>
  <si>
    <t>April 11, 2025</t>
  </si>
  <si>
    <t>April 10, 2025</t>
  </si>
  <si>
    <t>April 09, 2025</t>
  </si>
  <si>
    <t>April 08, 2025</t>
  </si>
  <si>
    <t>April 07, 2025</t>
  </si>
  <si>
    <t>April 06, 2025</t>
  </si>
  <si>
    <t>April 03, 2025</t>
  </si>
  <si>
    <t>April 02, 2025</t>
  </si>
  <si>
    <t>April 01, 2025</t>
  </si>
  <si>
    <t>March 31, 2025</t>
  </si>
  <si>
    <t>March 30, 2025</t>
  </si>
  <si>
    <t>March 27, 2025</t>
  </si>
  <si>
    <t>March 26, 2025</t>
  </si>
  <si>
    <t>March 25, 2025</t>
  </si>
  <si>
    <t>March 24, 2025</t>
  </si>
  <si>
    <t>March 23, 2025</t>
  </si>
  <si>
    <t>March 20, 2025</t>
  </si>
  <si>
    <t>March 19, 2025</t>
  </si>
  <si>
    <t>March 18, 2025</t>
  </si>
  <si>
    <t>March 17, 2025</t>
  </si>
  <si>
    <t>March 16, 2025</t>
  </si>
  <si>
    <t>March 13, 2025</t>
  </si>
  <si>
    <t>March 12, 2025</t>
  </si>
  <si>
    <t>March 11, 2025</t>
  </si>
  <si>
    <t>March 10, 2025</t>
  </si>
  <si>
    <t>March 09, 2025</t>
  </si>
  <si>
    <t>March 06, 2025</t>
  </si>
  <si>
    <t>March 05, 2025</t>
  </si>
  <si>
    <t>March 04, 2025</t>
  </si>
  <si>
    <t>March 03, 2025</t>
  </si>
  <si>
    <t>March 02, 2025</t>
  </si>
  <si>
    <t>February 27, 2025</t>
  </si>
  <si>
    <t>February 26, 2025</t>
  </si>
  <si>
    <t>February 25, 2025</t>
  </si>
  <si>
    <t>February 24, 2025</t>
  </si>
  <si>
    <t>February 23, 2025</t>
  </si>
  <si>
    <t>February 20, 2025</t>
  </si>
  <si>
    <t>February 19, 2025</t>
  </si>
  <si>
    <t>February 18, 2025</t>
  </si>
  <si>
    <t>February 17, 2025</t>
  </si>
  <si>
    <t>February 13, 2025</t>
  </si>
  <si>
    <t>February 12, 2025</t>
  </si>
  <si>
    <t>February 11, 2025</t>
  </si>
  <si>
    <t>February 10, 2025</t>
  </si>
  <si>
    <t>February 09, 2025</t>
  </si>
  <si>
    <t>February 06, 2025</t>
  </si>
  <si>
    <t>February 05, 2025</t>
  </si>
  <si>
    <t>February 04, 2025</t>
  </si>
  <si>
    <t>February 03, 2025</t>
  </si>
  <si>
    <t>February 02, 2025</t>
  </si>
  <si>
    <t>January 30, 2025</t>
  </si>
  <si>
    <t>January 29, 2025</t>
  </si>
  <si>
    <t>January 28, 2025</t>
  </si>
  <si>
    <t>January 27, 2025</t>
  </si>
  <si>
    <t>January 26, 2025</t>
  </si>
  <si>
    <t>January 23, 2025</t>
  </si>
  <si>
    <t>January 22, 2025</t>
  </si>
  <si>
    <t>January 21, 2025</t>
  </si>
  <si>
    <t>January 20, 2025</t>
  </si>
  <si>
    <t>January 19, 2025</t>
  </si>
  <si>
    <t>January 16, 2025</t>
  </si>
  <si>
    <t>January 15, 2025</t>
  </si>
  <si>
    <t>January 14, 2025</t>
  </si>
  <si>
    <t>January 13, 2025</t>
  </si>
  <si>
    <t>January 12, 2025</t>
  </si>
  <si>
    <t>January 09, 2025</t>
  </si>
  <si>
    <t>January 08, 2025</t>
  </si>
  <si>
    <t>January 07, 2025</t>
  </si>
  <si>
    <t>January 06, 2025</t>
  </si>
  <si>
    <t>January 05, 2025</t>
  </si>
  <si>
    <t>January 02, 2025</t>
  </si>
  <si>
    <t>January 01, 2025</t>
  </si>
  <si>
    <t>December 30, 2024</t>
  </si>
  <si>
    <t>December 29, 2024</t>
  </si>
  <si>
    <t>December 26, 2024</t>
  </si>
  <si>
    <t>December 25, 2024</t>
  </si>
  <si>
    <t>December 24, 2024</t>
  </si>
  <si>
    <t>December 23, 2024</t>
  </si>
  <si>
    <t>December 22, 2024</t>
  </si>
  <si>
    <t>December 19, 2024</t>
  </si>
  <si>
    <t>December 18, 2024</t>
  </si>
  <si>
    <t>December 17, 2024</t>
  </si>
  <si>
    <t>December 16, 2024</t>
  </si>
  <si>
    <t>December 15, 2024</t>
  </si>
  <si>
    <t>December 12, 2024</t>
  </si>
  <si>
    <t>December 11, 2024</t>
  </si>
  <si>
    <t>December 10, 2024</t>
  </si>
  <si>
    <t>December 09, 2024</t>
  </si>
  <si>
    <t>December 08, 2024</t>
  </si>
  <si>
    <t>December 05, 2024</t>
  </si>
  <si>
    <t>December 04, 2024</t>
  </si>
  <si>
    <t>December 03, 2024</t>
  </si>
  <si>
    <t>December 02, 2024</t>
  </si>
  <si>
    <t>December 01, 2024</t>
  </si>
  <si>
    <t>November 28, 2024</t>
  </si>
  <si>
    <t>November 27, 2024</t>
  </si>
  <si>
    <t>November 26, 2024</t>
  </si>
  <si>
    <t>November 25, 2024</t>
  </si>
  <si>
    <t>November 24, 2024</t>
  </si>
  <si>
    <t>November 21, 2024</t>
  </si>
  <si>
    <t>November 20, 2024</t>
  </si>
  <si>
    <t>November 19, 2024</t>
  </si>
  <si>
    <t>November 18, 2024</t>
  </si>
  <si>
    <t>November 17, 2024</t>
  </si>
  <si>
    <t>November 14, 2024</t>
  </si>
  <si>
    <t>November 13, 2024</t>
  </si>
  <si>
    <t>November 12, 2024</t>
  </si>
  <si>
    <t>November 11, 2024</t>
  </si>
  <si>
    <t>November 07, 2024</t>
  </si>
  <si>
    <t>November 06, 2024</t>
  </si>
  <si>
    <t>November 05, 2024</t>
  </si>
  <si>
    <t>November 04, 2024</t>
  </si>
  <si>
    <t>November 03, 2024</t>
  </si>
  <si>
    <t>October 31, 2024</t>
  </si>
  <si>
    <t>October 30, 2024</t>
  </si>
  <si>
    <t>October 29, 2024</t>
  </si>
  <si>
    <t>October 28, 2024</t>
  </si>
  <si>
    <t>October 27, 2024</t>
  </si>
  <si>
    <t>October 23, 2024</t>
  </si>
  <si>
    <t>October 22, 2024</t>
  </si>
  <si>
    <t>October 21, 2024</t>
  </si>
  <si>
    <t>October 20, 2024</t>
  </si>
  <si>
    <t>October 17, 2024</t>
  </si>
  <si>
    <t>October 16, 2024</t>
  </si>
  <si>
    <t>October 15, 2024</t>
  </si>
  <si>
    <t>October 14, 2024</t>
  </si>
  <si>
    <t>October 13, 2024</t>
  </si>
  <si>
    <t>October 10, 2024</t>
  </si>
  <si>
    <t>October 09, 2024</t>
  </si>
  <si>
    <t>October 08, 2024</t>
  </si>
  <si>
    <t>October 07, 2024</t>
  </si>
  <si>
    <t>October 03, 2024</t>
  </si>
  <si>
    <t>October 02, 2024</t>
  </si>
  <si>
    <t>October 01, 2024</t>
  </si>
  <si>
    <t>September 30, 2024</t>
  </si>
  <si>
    <t>September 29, 2024</t>
  </si>
  <si>
    <t>September 26, 2024</t>
  </si>
  <si>
    <t>September 25, 2024</t>
  </si>
  <si>
    <t>September 24, 2024</t>
  </si>
  <si>
    <t>September 23, 2024</t>
  </si>
  <si>
    <t>September 22, 2024</t>
  </si>
  <si>
    <t>September 19, 2024</t>
  </si>
  <si>
    <t>September 18, 2024</t>
  </si>
  <si>
    <t>September 17, 2024</t>
  </si>
  <si>
    <t>September 16, 2024</t>
  </si>
  <si>
    <t>September 15, 2024</t>
  </si>
  <si>
    <t>September 13, 2024</t>
  </si>
  <si>
    <t>September 12, 2024</t>
  </si>
  <si>
    <t>September 11, 2024</t>
  </si>
  <si>
    <t>September 10, 2024</t>
  </si>
  <si>
    <t>September 09, 2024</t>
  </si>
  <si>
    <t>September 08, 2024</t>
  </si>
  <si>
    <t>September 05, 2024</t>
  </si>
  <si>
    <t>September 04, 2024</t>
  </si>
  <si>
    <t>September 03, 2024</t>
  </si>
  <si>
    <t>September 02, 2024</t>
  </si>
  <si>
    <t>August 29, 2024</t>
  </si>
  <si>
    <t>August 28, 2024</t>
  </si>
  <si>
    <t>August 27, 2024</t>
  </si>
  <si>
    <t>August 22, 2024</t>
  </si>
  <si>
    <t>August 21, 2024</t>
  </si>
  <si>
    <t>August 20, 2024</t>
  </si>
  <si>
    <t>August 19, 2024</t>
  </si>
  <si>
    <t>August 18, 2024</t>
  </si>
  <si>
    <t>August 15, 2024</t>
  </si>
  <si>
    <t>August 14, 2024</t>
  </si>
  <si>
    <t>August 13, 2024</t>
  </si>
  <si>
    <t>August 12, 2024</t>
  </si>
  <si>
    <t>August 11, 2024</t>
  </si>
  <si>
    <t>August 08, 2024</t>
  </si>
  <si>
    <t>August 07, 2024</t>
  </si>
  <si>
    <t>August 06, 2024</t>
  </si>
  <si>
    <t>August 05, 2024</t>
  </si>
  <si>
    <t>August 04, 2024</t>
  </si>
  <si>
    <t>August 01, 2024</t>
  </si>
  <si>
    <t>July 31, 2024</t>
  </si>
  <si>
    <t>July 30, 2024</t>
  </si>
  <si>
    <t>July 29, 2024</t>
  </si>
  <si>
    <t>July 28, 2024</t>
  </si>
  <si>
    <t>July 25, 2024</t>
  </si>
  <si>
    <t>July 24, 2024</t>
  </si>
  <si>
    <t>July 23, 2024</t>
  </si>
  <si>
    <t>July 22, 2024</t>
  </si>
  <si>
    <t>July 21, 2024</t>
  </si>
  <si>
    <t>July 17, 2024</t>
  </si>
  <si>
    <t>July 16, 2024</t>
  </si>
  <si>
    <t>July 15, 2024</t>
  </si>
  <si>
    <t>July 14, 2024</t>
  </si>
  <si>
    <t>July 11, 2024</t>
  </si>
  <si>
    <t>July 10, 2024</t>
  </si>
  <si>
    <t>July 09, 2024</t>
  </si>
  <si>
    <t>July 08, 2024</t>
  </si>
  <si>
    <t>July 07, 2024</t>
  </si>
  <si>
    <t>July 04, 2024</t>
  </si>
  <si>
    <t>July 02, 2024</t>
  </si>
  <si>
    <t>July 01, 2024</t>
  </si>
  <si>
    <t>June 30, 2024</t>
  </si>
  <si>
    <t>June 27, 2024</t>
  </si>
  <si>
    <t>June 26, 2024</t>
  </si>
  <si>
    <t>June 25, 2024</t>
  </si>
  <si>
    <t>June 24, 2024</t>
  </si>
  <si>
    <t>June 23, 2024</t>
  </si>
  <si>
    <t>June 20, 2024</t>
  </si>
  <si>
    <t>June 19, 2024</t>
  </si>
  <si>
    <t>June 18, 2024</t>
  </si>
  <si>
    <t>June 17, 2024</t>
  </si>
  <si>
    <t>June 16, 2024</t>
  </si>
  <si>
    <t>June 13, 2024</t>
  </si>
  <si>
    <t>June 12, 2024</t>
  </si>
  <si>
    <t>June 11, 2024</t>
  </si>
  <si>
    <t>June 10, 2024</t>
  </si>
  <si>
    <t>June 09, 2024</t>
  </si>
  <si>
    <t>June 06, 2024</t>
  </si>
  <si>
    <t>June 05, 2024</t>
  </si>
  <si>
    <t>June 04, 2024</t>
  </si>
  <si>
    <t>June 03, 2024</t>
  </si>
  <si>
    <t>June 02, 2024</t>
  </si>
  <si>
    <t>May 30, 2024</t>
  </si>
  <si>
    <t>May 29, 2024</t>
  </si>
  <si>
    <t>May 28, 2024</t>
  </si>
  <si>
    <t>May 27, 2024</t>
  </si>
  <si>
    <t>May 23, 2024</t>
  </si>
  <si>
    <t>May 22, 2024</t>
  </si>
  <si>
    <t>May 21, 2024</t>
  </si>
  <si>
    <t>May 20, 2024</t>
  </si>
  <si>
    <t>May 19, 2024</t>
  </si>
  <si>
    <t>May 16, 2024</t>
  </si>
  <si>
    <t>May 15, 2024</t>
  </si>
  <si>
    <t>May 14, 2024</t>
  </si>
  <si>
    <t>May 13, 2024</t>
  </si>
  <si>
    <t>May 12, 2024</t>
  </si>
  <si>
    <t>May 09, 2024</t>
  </si>
  <si>
    <t>May 08, 2024</t>
  </si>
  <si>
    <t>May 07, 2024</t>
  </si>
  <si>
    <t>May 06, 2024</t>
  </si>
  <si>
    <t>May 05, 2024</t>
  </si>
  <si>
    <t>May 02, 2024</t>
  </si>
  <si>
    <t>May 01, 2024</t>
  </si>
  <si>
    <t>April 30, 2024</t>
  </si>
  <si>
    <t>April 29, 2024</t>
  </si>
  <si>
    <t>April 28, 2024</t>
  </si>
  <si>
    <t>April 25, 2024</t>
  </si>
  <si>
    <t>April 24, 2024</t>
  </si>
  <si>
    <t>April 23, 2024</t>
  </si>
  <si>
    <t>April 22, 2024</t>
  </si>
  <si>
    <t>April 21, 2024</t>
  </si>
  <si>
    <t>April 18, 2024</t>
  </si>
  <si>
    <t>April 17, 2024</t>
  </si>
  <si>
    <t>April 16, 2024</t>
  </si>
  <si>
    <t>April 15, 2024</t>
  </si>
  <si>
    <t>April 14, 2024</t>
  </si>
  <si>
    <t>April 11, 2024</t>
  </si>
  <si>
    <t>April 10, 2024</t>
  </si>
  <si>
    <t>April 09, 2024</t>
  </si>
  <si>
    <t>April 08, 2024</t>
  </si>
  <si>
    <t>April 07, 2024</t>
  </si>
  <si>
    <t>April 04, 2024</t>
  </si>
  <si>
    <t>April 03, 2024</t>
  </si>
  <si>
    <t>April 02, 2024</t>
  </si>
  <si>
    <t>April 01, 2024</t>
  </si>
  <si>
    <t>March 31, 2024</t>
  </si>
  <si>
    <t>March 28, 2024</t>
  </si>
  <si>
    <t>March 27, 2024</t>
  </si>
  <si>
    <t>March 26, 2024</t>
  </si>
  <si>
    <t>March 25, 2024</t>
  </si>
  <si>
    <t>March 24, 2024</t>
  </si>
  <si>
    <t>March 21, 2024</t>
  </si>
  <si>
    <t>March 20, 2024</t>
  </si>
  <si>
    <t>March 19, 2024</t>
  </si>
  <si>
    <t>March 18, 2024</t>
  </si>
  <si>
    <t>March 17, 2024</t>
  </si>
  <si>
    <t>March 14, 2024</t>
  </si>
  <si>
    <t>March 13, 2024</t>
  </si>
  <si>
    <t>March 12, 2024</t>
  </si>
  <si>
    <t>March 11, 2024</t>
  </si>
  <si>
    <t>March 10, 2024</t>
  </si>
  <si>
    <t>March 07, 2024</t>
  </si>
  <si>
    <t>March 06, 2024</t>
  </si>
  <si>
    <t>March 05, 2024</t>
  </si>
  <si>
    <t>March 04, 2024</t>
  </si>
  <si>
    <t>March 03, 2024</t>
  </si>
  <si>
    <t>February 29, 2024</t>
  </si>
  <si>
    <t>February 28, 2024</t>
  </si>
  <si>
    <t>February 27, 2024</t>
  </si>
  <si>
    <t>February 26, 2024</t>
  </si>
  <si>
    <t>February 25, 2024</t>
  </si>
  <si>
    <t>February 22, 2024</t>
  </si>
  <si>
    <t>February 21, 2024</t>
  </si>
  <si>
    <t>February 20, 2024</t>
  </si>
  <si>
    <t>February 19, 2024</t>
  </si>
  <si>
    <t>February 15, 2024</t>
  </si>
  <si>
    <t>February 14, 2024</t>
  </si>
  <si>
    <t>February 13, 2024</t>
  </si>
  <si>
    <t>February 12, 2024</t>
  </si>
  <si>
    <t>February 11, 2024</t>
  </si>
  <si>
    <t>February 08, 2024</t>
  </si>
  <si>
    <t>February 07, 2024</t>
  </si>
  <si>
    <t>February 06, 2024</t>
  </si>
  <si>
    <t>February 05, 2024</t>
  </si>
  <si>
    <t>February 04, 2024</t>
  </si>
  <si>
    <t>February 01, 2024</t>
  </si>
  <si>
    <t>January 31, 2024</t>
  </si>
  <si>
    <t>January 30, 2024</t>
  </si>
  <si>
    <t>January 29, 2024</t>
  </si>
  <si>
    <t>January 28, 2024</t>
  </si>
  <si>
    <t>January 25, 2024</t>
  </si>
  <si>
    <t>January 24, 2024</t>
  </si>
  <si>
    <t>January 23, 2024</t>
  </si>
  <si>
    <t>January 22, 2024</t>
  </si>
  <si>
    <t>January 21, 2024</t>
  </si>
  <si>
    <t>January 18, 2024</t>
  </si>
  <si>
    <t>January 17, 2024</t>
  </si>
  <si>
    <t>January 16, 2024</t>
  </si>
  <si>
    <t>January 15, 2024</t>
  </si>
  <si>
    <t>January 11, 2024</t>
  </si>
  <si>
    <t>January 10, 2024</t>
  </si>
  <si>
    <t>January 09, 2024</t>
  </si>
  <si>
    <t>January 08, 2024</t>
  </si>
  <si>
    <t>January 07, 2024</t>
  </si>
  <si>
    <t>January 04, 2024</t>
  </si>
  <si>
    <t>January 03, 2024</t>
  </si>
  <si>
    <t>January 02, 2024</t>
  </si>
  <si>
    <t>January 01, 2024</t>
  </si>
  <si>
    <t>December 28, 2023</t>
  </si>
  <si>
    <t>December 27, 2023</t>
  </si>
  <si>
    <t>December 26, 2023</t>
  </si>
  <si>
    <t>December 25, 2023</t>
  </si>
  <si>
    <t>December 21, 2023</t>
  </si>
  <si>
    <t>December 20, 2023</t>
  </si>
  <si>
    <t>December 19, 2023</t>
  </si>
  <si>
    <t>December 18, 2023</t>
  </si>
  <si>
    <t>December 17, 2023</t>
  </si>
  <si>
    <t>December 14, 2023</t>
  </si>
  <si>
    <t>December 13, 2023</t>
  </si>
  <si>
    <t>December 12, 2023</t>
  </si>
  <si>
    <t>December 11, 2023</t>
  </si>
  <si>
    <t>December 10, 2023</t>
  </si>
  <si>
    <t>December 07, 2023</t>
  </si>
  <si>
    <t>December 06, 2023</t>
  </si>
  <si>
    <t>December 05, 2023</t>
  </si>
  <si>
    <t>December 04, 2023</t>
  </si>
  <si>
    <t>December 03, 2023</t>
  </si>
  <si>
    <t>November 30, 2023</t>
  </si>
  <si>
    <t>November 29, 2023</t>
  </si>
  <si>
    <t>November 28, 2023</t>
  </si>
  <si>
    <t>November 27, 2023</t>
  </si>
  <si>
    <t>November 26, 2023</t>
  </si>
  <si>
    <t>November 23, 2023</t>
  </si>
  <si>
    <t>November 21, 2023</t>
  </si>
  <si>
    <t>November 20, 2023</t>
  </si>
  <si>
    <t>November 19, 2023</t>
  </si>
  <si>
    <t>November 16, 2023</t>
  </si>
  <si>
    <t>November 15, 2023</t>
  </si>
  <si>
    <t>November 14, 2023</t>
  </si>
  <si>
    <t>November 13, 2023</t>
  </si>
  <si>
    <t>November 12, 2023</t>
  </si>
  <si>
    <t>November 08, 2023</t>
  </si>
  <si>
    <t>November 07, 2023</t>
  </si>
  <si>
    <t>November 06, 2023</t>
  </si>
  <si>
    <t>November 05, 2023</t>
  </si>
  <si>
    <t>November 02, 2023</t>
  </si>
  <si>
    <t>November 01, 2023</t>
  </si>
  <si>
    <t>October 31, 2023</t>
  </si>
  <si>
    <t>October 30, 2023</t>
  </si>
  <si>
    <t>October 29, 2023</t>
  </si>
  <si>
    <t>October 26, 2023</t>
  </si>
  <si>
    <t>October 25, 2023</t>
  </si>
  <si>
    <t>October 24, 2023</t>
  </si>
  <si>
    <t>October 23, 2023</t>
  </si>
  <si>
    <t>October 22, 2023</t>
  </si>
  <si>
    <t>October 19, 2023</t>
  </si>
  <si>
    <t>October 18, 2023</t>
  </si>
  <si>
    <t>October 17, 2023</t>
  </si>
  <si>
    <t>October 16, 2023</t>
  </si>
  <si>
    <t>October 15, 2023</t>
  </si>
  <si>
    <t>October 12, 2023</t>
  </si>
  <si>
    <t>October 11, 2023</t>
  </si>
  <si>
    <t>October 10, 2023</t>
  </si>
  <si>
    <t>October 09, 2023</t>
  </si>
  <si>
    <t>October 05, 2023</t>
  </si>
  <si>
    <t>October 04, 2023</t>
  </si>
  <si>
    <t>October 03, 2023</t>
  </si>
  <si>
    <t>October 02, 2023</t>
  </si>
  <si>
    <t>October 01, 2023</t>
  </si>
  <si>
    <t>September 28, 2023</t>
  </si>
  <si>
    <t>September 27, 2023</t>
  </si>
  <si>
    <t>September 26, 2023</t>
  </si>
  <si>
    <t>September 25, 2023</t>
  </si>
  <si>
    <t>September 24, 2023</t>
  </si>
  <si>
    <t>September 21, 2023</t>
  </si>
  <si>
    <t>September 20, 2023</t>
  </si>
  <si>
    <t>September 19, 2023</t>
  </si>
  <si>
    <t>September 18, 2023</t>
  </si>
  <si>
    <t>September 17, 2023</t>
  </si>
  <si>
    <t>September 14, 2023</t>
  </si>
  <si>
    <t>September 13, 2023</t>
  </si>
  <si>
    <t>September 12, 2023</t>
  </si>
  <si>
    <t>September 11, 2023</t>
  </si>
  <si>
    <t>September 10, 2023</t>
  </si>
  <si>
    <t>September 07, 2023</t>
  </si>
  <si>
    <t>September 06, 2023</t>
  </si>
  <si>
    <t>September 05, 2023</t>
  </si>
  <si>
    <t>September 04, 2023</t>
  </si>
  <si>
    <t>August 31, 2023</t>
  </si>
  <si>
    <t>August 30, 2023</t>
  </si>
  <si>
    <t>August 29, 2023</t>
  </si>
  <si>
    <t>August 28, 2023</t>
  </si>
  <si>
    <t>August 27, 2023</t>
  </si>
  <si>
    <t>August 24, 2023</t>
  </si>
  <si>
    <t>August 23, 2023</t>
  </si>
  <si>
    <t>August 22, 2023</t>
  </si>
  <si>
    <t>August 21, 2023</t>
  </si>
  <si>
    <t>August 20, 2023</t>
  </si>
  <si>
    <t>August 17, 2023</t>
  </si>
  <si>
    <t>August 16, 2023</t>
  </si>
  <si>
    <t>August 10, 2023</t>
  </si>
  <si>
    <t>August 09, 2023</t>
  </si>
  <si>
    <t>August 08, 2023</t>
  </si>
  <si>
    <t>August 07, 2023</t>
  </si>
  <si>
    <t>August 06, 2023</t>
  </si>
  <si>
    <t>August 03, 2023</t>
  </si>
  <si>
    <t>August 02, 2023</t>
  </si>
  <si>
    <t>August 01, 2023</t>
  </si>
  <si>
    <t>July 31, 2023</t>
  </si>
  <si>
    <t>July 30, 2023</t>
  </si>
  <si>
    <t>July 27, 2023</t>
  </si>
  <si>
    <t>July 26, 2023</t>
  </si>
  <si>
    <t>July 25, 2023</t>
  </si>
  <si>
    <t>July 24, 2023</t>
  </si>
  <si>
    <t>July 23, 2023</t>
  </si>
  <si>
    <t>July 20, 2023</t>
  </si>
  <si>
    <t>July 19, 2023</t>
  </si>
  <si>
    <t>July 18, 2023</t>
  </si>
  <si>
    <t>July 17, 2023</t>
  </si>
  <si>
    <t>July 16, 2023</t>
  </si>
  <si>
    <t>July 13, 2023</t>
  </si>
  <si>
    <t>July 12, 2023</t>
  </si>
  <si>
    <t>July 11, 2023</t>
  </si>
  <si>
    <t>July 10, 2023</t>
  </si>
  <si>
    <t>July 09, 2023</t>
  </si>
  <si>
    <t>July 06, 2023</t>
  </si>
  <si>
    <t>July 05, 2023</t>
  </si>
  <si>
    <t>July 04, 2023</t>
  </si>
  <si>
    <t>July 02, 2023</t>
  </si>
  <si>
    <t>June 29, 2023</t>
  </si>
  <si>
    <t>June 28, 2023</t>
  </si>
  <si>
    <t>June 27, 2023</t>
  </si>
  <si>
    <t>June 26, 2023</t>
  </si>
  <si>
    <t>June 25, 2023</t>
  </si>
  <si>
    <t>June 22, 2023</t>
  </si>
  <si>
    <t>June 21, 2023</t>
  </si>
  <si>
    <t>June 20, 2023</t>
  </si>
  <si>
    <t>June 19, 2023</t>
  </si>
  <si>
    <t>June 15, 2023</t>
  </si>
  <si>
    <t>June 14, 2023</t>
  </si>
  <si>
    <t>June 13, 2023</t>
  </si>
  <si>
    <t>June 12, 2023</t>
  </si>
  <si>
    <t>June 11, 2023</t>
  </si>
  <si>
    <t>June 08, 2023</t>
  </si>
  <si>
    <t>June 07, 2023</t>
  </si>
  <si>
    <t>June 06, 2023</t>
  </si>
  <si>
    <t>June 05, 2023</t>
  </si>
  <si>
    <t>June 04, 2023</t>
  </si>
  <si>
    <t>June 01, 2023</t>
  </si>
  <si>
    <t>May 31, 2023</t>
  </si>
  <si>
    <t>May 30, 2023</t>
  </si>
  <si>
    <t>May 29, 2023</t>
  </si>
  <si>
    <t>May 25, 2023</t>
  </si>
  <si>
    <t>May 24, 2023</t>
  </si>
  <si>
    <t>May 23, 2023</t>
  </si>
  <si>
    <t>May 22, 2023</t>
  </si>
  <si>
    <t>May 21, 2023</t>
  </si>
  <si>
    <t>May 18, 2023</t>
  </si>
  <si>
    <t>May 17, 2023</t>
  </si>
  <si>
    <t>May 16, 2023</t>
  </si>
  <si>
    <t>May 15, 2023</t>
  </si>
  <si>
    <t>May 14, 2023</t>
  </si>
  <si>
    <t>May 11, 2023</t>
  </si>
  <si>
    <t>May 10, 2023</t>
  </si>
  <si>
    <t>May 09, 2023</t>
  </si>
  <si>
    <t>May 08, 2023</t>
  </si>
  <si>
    <t>May 07, 2023</t>
  </si>
  <si>
    <t>May 04, 2023</t>
  </si>
  <si>
    <t>May 03, 2023</t>
  </si>
  <si>
    <t>May 02, 2023</t>
  </si>
  <si>
    <t>May 01, 2023</t>
  </si>
  <si>
    <t>April 30, 2023</t>
  </si>
  <si>
    <t>April 27, 2023</t>
  </si>
  <si>
    <t>April 26, 2023</t>
  </si>
  <si>
    <t>April 25, 2023</t>
  </si>
  <si>
    <t>April 24, 2023</t>
  </si>
  <si>
    <t>April 23, 2023</t>
  </si>
  <si>
    <t>April 20, 2023</t>
  </si>
  <si>
    <t>April 19, 2023</t>
  </si>
  <si>
    <t>April 18, 2023</t>
  </si>
  <si>
    <t>April 17, 2023</t>
  </si>
  <si>
    <t>April 16, 2023</t>
  </si>
  <si>
    <t>April 13, 2023</t>
  </si>
  <si>
    <t>April 12, 2023</t>
  </si>
  <si>
    <t>April 11, 2023</t>
  </si>
  <si>
    <t>April 10, 2023</t>
  </si>
  <si>
    <t>April 09, 2023</t>
  </si>
  <si>
    <t>April 06, 2023</t>
  </si>
  <si>
    <t>April 05, 2023</t>
  </si>
  <si>
    <t>April 04, 2023</t>
  </si>
  <si>
    <t>April 03, 2023</t>
  </si>
  <si>
    <t>April 02, 2023</t>
  </si>
  <si>
    <t>March 30, 2023</t>
  </si>
  <si>
    <t>March 29, 2023</t>
  </si>
  <si>
    <t>March 28, 2023</t>
  </si>
  <si>
    <t>March 27, 2023</t>
  </si>
  <si>
    <t>March 26, 2023</t>
  </si>
  <si>
    <t>March 23, 2023</t>
  </si>
  <si>
    <t>March 22, 2023</t>
  </si>
  <si>
    <t>March 21, 2023</t>
  </si>
  <si>
    <t>March 20, 2023</t>
  </si>
  <si>
    <t>March 19, 2023</t>
  </si>
  <si>
    <t>March 16, 2023</t>
  </si>
  <si>
    <t>March 15, 2023</t>
  </si>
  <si>
    <t>March 14, 2023</t>
  </si>
  <si>
    <t>March 13, 2023</t>
  </si>
  <si>
    <t>March 09, 2023</t>
  </si>
  <si>
    <t>March 08, 2023</t>
  </si>
  <si>
    <t>March 07, 2023</t>
  </si>
  <si>
    <t>March 02, 2023</t>
  </si>
  <si>
    <t>March 01, 2023</t>
  </si>
  <si>
    <t>February 28, 2023</t>
  </si>
  <si>
    <t>February 27, 2023</t>
  </si>
  <si>
    <t>February 26, 2023</t>
  </si>
  <si>
    <t>February 23, 2023</t>
  </si>
  <si>
    <t>February 22, 2023</t>
  </si>
  <si>
    <t>February 21, 2023</t>
  </si>
  <si>
    <t>February 20, 2023</t>
  </si>
  <si>
    <t>February 16, 2023</t>
  </si>
  <si>
    <t>February 15, 2023</t>
  </si>
  <si>
    <t>February 14, 2023</t>
  </si>
  <si>
    <t>February 13, 2023</t>
  </si>
  <si>
    <t>February 12, 2023</t>
  </si>
  <si>
    <t>February 09, 2023</t>
  </si>
  <si>
    <t>February 08, 2023</t>
  </si>
  <si>
    <t>February 07, 2023</t>
  </si>
  <si>
    <t>February 06, 2023</t>
  </si>
  <si>
    <t>February 05, 2023</t>
  </si>
  <si>
    <t>February 02, 2023</t>
  </si>
  <si>
    <t>February 01, 2023</t>
  </si>
  <si>
    <t>January 31, 2023</t>
  </si>
  <si>
    <t>January 30, 2023</t>
  </si>
  <si>
    <t>January 29, 2023</t>
  </si>
  <si>
    <t>January 25, 2023</t>
  </si>
  <si>
    <t>January 24, 2023</t>
  </si>
  <si>
    <t>January 23, 2023</t>
  </si>
  <si>
    <t>January 22, 2023</t>
  </si>
  <si>
    <t>January 12, 2023</t>
  </si>
  <si>
    <t>Children_Apprehended</t>
  </si>
  <si>
    <t>Children Apprehended</t>
  </si>
  <si>
    <t>Children in CBP Custody</t>
  </si>
  <si>
    <t>Children Transferred to HHS</t>
  </si>
  <si>
    <t>Children Discharged</t>
  </si>
  <si>
    <t>TOTAL</t>
  </si>
  <si>
    <t>AVERAGE</t>
  </si>
  <si>
    <t>MAXIMUM</t>
  </si>
  <si>
    <t>MINIMUM</t>
  </si>
  <si>
    <t>Sum of Children_Apprehended</t>
  </si>
  <si>
    <t>Row Labels</t>
  </si>
  <si>
    <t>Grand Total</t>
  </si>
  <si>
    <t>30,</t>
  </si>
  <si>
    <t>29,</t>
  </si>
  <si>
    <t>28,</t>
  </si>
  <si>
    <t>25,</t>
  </si>
  <si>
    <t>24,</t>
  </si>
  <si>
    <t>23,</t>
  </si>
  <si>
    <t>22,</t>
  </si>
  <si>
    <t>21,</t>
  </si>
  <si>
    <t>18,</t>
  </si>
  <si>
    <t>17,</t>
  </si>
  <si>
    <t>16,</t>
  </si>
  <si>
    <t>15,</t>
  </si>
  <si>
    <t>14,</t>
  </si>
  <si>
    <t>11,</t>
  </si>
  <si>
    <t>10,</t>
  </si>
  <si>
    <t>09,</t>
  </si>
  <si>
    <t>08,</t>
  </si>
  <si>
    <t>07,</t>
  </si>
  <si>
    <t>04,</t>
  </si>
  <si>
    <t>03,</t>
  </si>
  <si>
    <t>2023</t>
  </si>
  <si>
    <t>2024</t>
  </si>
  <si>
    <t>2025</t>
  </si>
  <si>
    <t>Jan</t>
  </si>
  <si>
    <t>Feb</t>
  </si>
  <si>
    <t>Mar</t>
  </si>
  <si>
    <t>Apr</t>
  </si>
  <si>
    <t>May</t>
  </si>
  <si>
    <t>Jun</t>
  </si>
  <si>
    <t>Jul</t>
  </si>
  <si>
    <t>Aug</t>
  </si>
  <si>
    <t>Sep</t>
  </si>
  <si>
    <t>Oct</t>
  </si>
  <si>
    <t>Nov</t>
  </si>
  <si>
    <t>Dec</t>
  </si>
  <si>
    <t>Column Labels</t>
  </si>
  <si>
    <t>Average of Children in CBP custody</t>
  </si>
  <si>
    <t>Average of Children in HHS Care</t>
  </si>
  <si>
    <t>Sum of Children transferred out of CBP custody</t>
  </si>
  <si>
    <t>Sum of Children discharged from HHS Care</t>
  </si>
  <si>
    <t>Monthly Total Children Apprehended (2023–2025)</t>
  </si>
  <si>
    <t>Monthly Average Children in CBP Custody (2023–2025)</t>
  </si>
  <si>
    <t>Monthly Total Children Transferred Out of CBP Custody (2023–2025)</t>
  </si>
  <si>
    <t>Monthly Average Children in HHS Care (2023–2025)</t>
  </si>
  <si>
    <t>Monthly Total Children Discharged from HHS Care (2023–2025)</t>
  </si>
  <si>
    <t>Monthly Pivot Table Analysis (2023–2025)</t>
  </si>
  <si>
    <t>Monthly System Capacity Overview (CBP Custody vs HHS Care) (2023–2025)</t>
  </si>
  <si>
    <t>Total Average of Children in CBP custody</t>
  </si>
  <si>
    <t>Total Average of Children in HHS Care</t>
  </si>
  <si>
    <t>MONTHLY HEALTHCARE DATA ANALYSIS CHARTS (2023–2025)</t>
  </si>
  <si>
    <t>TOTAL CHILDREN UNDER CARE</t>
  </si>
  <si>
    <t>NET INTAKE PRESSURE</t>
  </si>
  <si>
    <t>CARE LOAD VOLATILITY INDEX</t>
  </si>
  <si>
    <t>BACKLOG ACCUMULATION RATE</t>
  </si>
  <si>
    <t>DISCHARGE OFFSET RATIO</t>
  </si>
  <si>
    <t>HEALTHCARE DATA ANALYSIS &amp; BUSINESS INSIGHTS (2023–2025)</t>
  </si>
  <si>
    <t>BUSINESS INSIGHTS</t>
  </si>
  <si>
    <t>Daily HHS care load showed noticeable variation, reflecting changing operational demand.</t>
  </si>
  <si>
    <t>Discharges exceeded apprehensions over the analysis period, indicating effective case processing.</t>
  </si>
  <si>
    <t>Average children in CBP custody remained lower than HHS care, suggesting timely transfers to HHS facilities.</t>
  </si>
  <si>
    <t>Monthly trends revealed fluctuations in apprehensions, highlighting periods of increased operational pressure.</t>
  </si>
  <si>
    <t>KEY PERFORMANCE INDICATORS (KPIs)</t>
  </si>
  <si>
    <t>HEALTHCARE METRICS</t>
  </si>
  <si>
    <t>•</t>
  </si>
  <si>
    <r>
      <t xml:space="preserve">HHS care handled over </t>
    </r>
    <r>
      <rPr>
        <b/>
        <sz val="12"/>
        <color theme="1"/>
        <rFont val="Calibri"/>
        <family val="2"/>
        <scheme val="minor"/>
      </rPr>
      <t>4.36 million</t>
    </r>
    <r>
      <rPr>
        <sz val="12"/>
        <color theme="1"/>
        <rFont val="Calibri"/>
        <family val="2"/>
        <scheme val="minor"/>
      </rPr>
      <t xml:space="preserve"> child-care records during the analysis period.</t>
    </r>
  </si>
  <si>
    <r>
      <t xml:space="preserve">The discharge offset ratio greater than </t>
    </r>
    <r>
      <rPr>
        <b/>
        <sz val="12"/>
        <color theme="1"/>
        <rFont val="Calibri"/>
        <family val="2"/>
        <scheme val="minor"/>
      </rPr>
      <t>1</t>
    </r>
    <r>
      <rPr>
        <sz val="12"/>
        <color theme="1"/>
        <rFont val="Calibri"/>
        <family val="2"/>
        <scheme val="minor"/>
      </rPr>
      <t xml:space="preserve"> indicates that the system discharged more children than were newly apprehended during the study period.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</si>
</sst>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3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i/>
      <sz val="22"/>
      <color theme="1"/>
      <name val="Bodoni MT Black"/>
      <family val="1"/>
    </font>
    <font>
      <b/>
      <sz val="11"/>
      <color theme="4"/>
      <name val="Calibri"/>
      <family val="2"/>
      <scheme val="minor"/>
    </font>
    <font>
      <b/>
      <sz val="10"/>
      <color theme="1"/>
      <name val="Arial Black"/>
      <family val="2"/>
    </font>
    <font>
      <b/>
      <sz val="9"/>
      <color theme="1"/>
      <name val="Arial Black"/>
      <family val="2"/>
    </font>
    <font>
      <b/>
      <sz val="8"/>
      <color theme="1"/>
      <name val="Arial Black"/>
      <family val="2"/>
    </font>
    <font>
      <b/>
      <sz val="8.5"/>
      <color theme="1"/>
      <name val="Arial Black"/>
      <family val="2"/>
    </font>
    <font>
      <b/>
      <u/>
      <sz val="18"/>
      <color theme="4" tint="-0.249977111117893"/>
      <name val="Arial Rounded MT Bold"/>
      <family val="2"/>
    </font>
    <font>
      <b/>
      <u/>
      <sz val="16"/>
      <color theme="4" tint="-0.249977111117893"/>
      <name val="Arial Rounded MT Bold"/>
      <family val="2"/>
    </font>
    <font>
      <sz val="12"/>
      <color theme="1"/>
      <name val="Calibri"/>
      <family val="2"/>
      <scheme val="minor"/>
    </font>
    <font>
      <b/>
      <sz val="14"/>
      <color theme="1"/>
      <name val="Calibri"/>
      <family val="2"/>
      <scheme val="minor"/>
    </font>
    <font>
      <b/>
      <sz val="12"/>
      <color theme="1"/>
      <name val="Calibri"/>
      <family val="2"/>
      <scheme val="minor"/>
    </font>
    <font>
      <b/>
      <sz val="14"/>
      <color theme="9" tint="-0.249977111117893"/>
      <name val="Calibri"/>
      <family val="2"/>
      <scheme val="minor"/>
    </font>
    <font>
      <b/>
      <sz val="14"/>
      <color rgb="FFFF0000"/>
      <name val="Calibri"/>
      <family val="2"/>
      <scheme val="minor"/>
    </font>
    <font>
      <sz val="20"/>
      <color theme="1"/>
      <name val="Algerian"/>
      <family val="5"/>
    </font>
    <font>
      <b/>
      <u/>
      <sz val="11"/>
      <color theme="1"/>
      <name val="Book Antiqua"/>
      <family val="1"/>
    </font>
    <font>
      <b/>
      <sz val="14"/>
      <color rgb="FF0070C0"/>
      <name val="Arial Black"/>
      <family val="2"/>
    </font>
    <font>
      <b/>
      <u/>
      <sz val="18"/>
      <color rgb="FF0070C0"/>
      <name val="Calibri"/>
      <family val="2"/>
      <scheme val="minor"/>
    </font>
    <font>
      <u val="double"/>
      <sz val="24"/>
      <color theme="4" tint="-0.249977111117893"/>
      <name val="Algerian"/>
      <family val="5"/>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3" tint="0.79998168889431442"/>
        <bgColor indexed="64"/>
      </patternFill>
    </fill>
    <fill>
      <patternFill patternType="solid">
        <fgColor theme="0"/>
        <bgColor indexed="64"/>
      </patternFill>
    </fill>
    <fill>
      <patternFill patternType="solid">
        <fgColor theme="9"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54">
    <xf numFmtId="0" fontId="0" fillId="0" borderId="0" xfId="0"/>
    <xf numFmtId="3" fontId="0" fillId="0" borderId="0" xfId="0" applyNumberFormat="1"/>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16" fillId="0" borderId="0" xfId="0" applyFont="1" applyAlignment="1">
      <alignment horizontal="center" vertical="center" wrapText="1"/>
    </xf>
    <xf numFmtId="0" fontId="16" fillId="0" borderId="0" xfId="0" applyFont="1" applyAlignment="1">
      <alignment horizontal="center"/>
    </xf>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 fontId="0" fillId="0" borderId="0" xfId="0" applyNumberFormat="1"/>
    <xf numFmtId="14" fontId="20" fillId="34" borderId="0" xfId="0" applyNumberFormat="1" applyFont="1" applyFill="1" applyAlignment="1">
      <alignment horizontal="center" vertical="center" wrapText="1"/>
    </xf>
    <xf numFmtId="1" fontId="20" fillId="34" borderId="0" xfId="0" applyNumberFormat="1" applyFont="1" applyFill="1" applyAlignment="1">
      <alignment horizontal="center" vertical="center" wrapText="1"/>
    </xf>
    <xf numFmtId="0" fontId="20" fillId="34" borderId="0" xfId="0" applyFont="1" applyFill="1" applyAlignment="1">
      <alignment horizontal="center" vertical="center" wrapText="1"/>
    </xf>
    <xf numFmtId="14" fontId="16" fillId="0" borderId="0" xfId="0" applyNumberFormat="1" applyFont="1" applyAlignment="1">
      <alignment horizontal="center"/>
    </xf>
    <xf numFmtId="1" fontId="16" fillId="0" borderId="0" xfId="0" applyNumberFormat="1" applyFont="1" applyAlignment="1">
      <alignment horizontal="center"/>
    </xf>
    <xf numFmtId="2" fontId="16" fillId="0" borderId="0" xfId="42" applyNumberFormat="1" applyFont="1" applyAlignment="1">
      <alignment horizontal="center"/>
    </xf>
    <xf numFmtId="14" fontId="16" fillId="0" borderId="0" xfId="0" applyNumberFormat="1" applyFont="1" applyAlignment="1">
      <alignment horizontal="center" vertical="center"/>
    </xf>
    <xf numFmtId="0" fontId="22" fillId="35" borderId="0" xfId="0" applyFont="1" applyFill="1" applyAlignment="1">
      <alignment horizontal="center" vertical="center"/>
    </xf>
    <xf numFmtId="0" fontId="24" fillId="35" borderId="0" xfId="0" applyFont="1" applyFill="1" applyAlignment="1">
      <alignment horizontal="center"/>
    </xf>
    <xf numFmtId="0" fontId="21" fillId="35" borderId="0" xfId="0" applyFont="1" applyFill="1" applyAlignment="1">
      <alignment horizontal="center"/>
    </xf>
    <xf numFmtId="2" fontId="0" fillId="0" borderId="0" xfId="0" pivotButton="1" applyNumberFormat="1"/>
    <xf numFmtId="2" fontId="0" fillId="0" borderId="0" xfId="0" applyNumberFormat="1" applyAlignment="1">
      <alignment horizontal="left"/>
    </xf>
    <xf numFmtId="0" fontId="25" fillId="0" borderId="0" xfId="0" applyFont="1" applyAlignment="1">
      <alignment horizontal="center"/>
    </xf>
    <xf numFmtId="0" fontId="26" fillId="0" borderId="0" xfId="0" applyFont="1" applyAlignment="1">
      <alignment horizontal="center"/>
    </xf>
    <xf numFmtId="3" fontId="30" fillId="0" borderId="11" xfId="0" applyNumberFormat="1" applyFont="1" applyBorder="1"/>
    <xf numFmtId="2" fontId="30" fillId="0" borderId="13" xfId="0" applyNumberFormat="1" applyFont="1" applyBorder="1"/>
    <xf numFmtId="2" fontId="30" fillId="0" borderId="15" xfId="0" applyNumberFormat="1" applyFont="1" applyBorder="1"/>
    <xf numFmtId="1" fontId="31" fillId="0" borderId="13" xfId="0" applyNumberFormat="1" applyFont="1" applyBorder="1"/>
    <xf numFmtId="2" fontId="31" fillId="0" borderId="13" xfId="0" applyNumberFormat="1" applyFont="1" applyBorder="1"/>
    <xf numFmtId="0" fontId="0" fillId="0" borderId="0" xfId="0" applyAlignment="1">
      <alignment horizontal="left" vertical="center" indent="1"/>
    </xf>
    <xf numFmtId="0" fontId="33" fillId="0" borderId="10" xfId="0" applyFont="1" applyBorder="1"/>
    <xf numFmtId="0" fontId="33" fillId="0" borderId="12" xfId="0" applyFont="1" applyBorder="1"/>
    <xf numFmtId="0" fontId="33" fillId="0" borderId="14" xfId="0" applyFont="1" applyBorder="1"/>
    <xf numFmtId="2" fontId="0" fillId="0" borderId="0" xfId="0" applyNumberFormat="1" applyAlignment="1">
      <alignment horizontal="center"/>
    </xf>
    <xf numFmtId="0" fontId="0" fillId="0" borderId="0" xfId="0" applyAlignment="1">
      <alignment horizontal="right"/>
    </xf>
    <xf numFmtId="0" fontId="28" fillId="0" borderId="0" xfId="0" applyFont="1" applyAlignment="1">
      <alignment vertical="center"/>
    </xf>
    <xf numFmtId="0" fontId="27" fillId="0" borderId="0" xfId="0" applyFont="1"/>
    <xf numFmtId="0" fontId="27" fillId="0" borderId="0" xfId="0" applyFont="1" applyAlignment="1">
      <alignment vertical="center"/>
    </xf>
    <xf numFmtId="0" fontId="32" fillId="0" borderId="0" xfId="0" applyFont="1" applyAlignment="1">
      <alignment horizontal="center"/>
    </xf>
    <xf numFmtId="0" fontId="35" fillId="0" borderId="0" xfId="0" applyFont="1" applyAlignment="1">
      <alignment vertical="top"/>
    </xf>
    <xf numFmtId="0" fontId="36" fillId="35" borderId="0" xfId="0" applyFont="1" applyFill="1" applyAlignment="1">
      <alignment horizontal="center"/>
    </xf>
    <xf numFmtId="0" fontId="25" fillId="0" borderId="0" xfId="0" applyFont="1" applyAlignment="1">
      <alignment horizontal="center"/>
    </xf>
    <xf numFmtId="0" fontId="16" fillId="33" borderId="0" xfId="0" applyFont="1" applyFill="1" applyAlignment="1">
      <alignment horizontal="center"/>
    </xf>
    <xf numFmtId="0" fontId="21" fillId="35" borderId="0" xfId="0" applyFont="1" applyFill="1" applyAlignment="1">
      <alignment horizontal="center"/>
    </xf>
    <xf numFmtId="0" fontId="19" fillId="34" borderId="0" xfId="0" applyFont="1" applyFill="1" applyAlignment="1">
      <alignment horizontal="center" vertical="center"/>
    </xf>
    <xf numFmtId="0" fontId="23" fillId="33" borderId="0" xfId="0" applyFont="1" applyFill="1" applyAlignment="1">
      <alignment horizontal="center" vertical="center"/>
    </xf>
    <xf numFmtId="0" fontId="21" fillId="33" borderId="0" xfId="0" applyFont="1" applyFill="1" applyAlignment="1">
      <alignment horizontal="center"/>
    </xf>
    <xf numFmtId="0" fontId="24" fillId="33" borderId="0" xfId="0" applyFont="1" applyFill="1" applyAlignment="1">
      <alignment horizontal="center"/>
    </xf>
    <xf numFmtId="0" fontId="22" fillId="33" borderId="0" xfId="0" applyFont="1" applyFill="1" applyAlignment="1">
      <alignment horizontal="center"/>
    </xf>
    <xf numFmtId="0" fontId="34" fillId="36" borderId="16" xfId="0" applyFont="1" applyFill="1" applyBorder="1" applyAlignment="1">
      <alignment horizontal="center" vertical="center"/>
    </xf>
    <xf numFmtId="0" fontId="34" fillId="36" borderId="17" xfId="0" applyFont="1" applyFill="1" applyBorder="1" applyAlignment="1">
      <alignment horizontal="center" vertical="center"/>
    </xf>
    <xf numFmtId="0" fontId="36" fillId="35"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64" formatCode="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[HHS_Unaccompanied_Alien_Children_Program.csv.xlsx]PIVOT_TABLE!PivotTable34</c:name>
    <c:fmtId val="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b="1" i="0" u="sng" strike="noStrike" baseline="0">
                <a:solidFill>
                  <a:schemeClr val="tx1"/>
                </a:solidFill>
              </a:rPr>
              <a:t>MONTHLY CHILDREN TRANSFERRED OUT OF CBP CUSTODY (2023–2025)</a:t>
            </a:r>
            <a:endParaRPr lang="en-IN" sz="1000" b="1" u="sng">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PIVOT_TABLE!$H$21:$H$22</c:f>
              <c:strCache>
                <c:ptCount val="1"/>
                <c:pt idx="0">
                  <c:v>2023</c:v>
                </c:pt>
              </c:strCache>
            </c:strRef>
          </c:tx>
          <c:spPr>
            <a:solidFill>
              <a:schemeClr val="accent1"/>
            </a:solidFill>
            <a:ln>
              <a:noFill/>
            </a:ln>
            <a:effectLst/>
            <a:sp3d/>
          </c:spPr>
          <c:invertIfNegative val="0"/>
          <c:cat>
            <c:strRef>
              <c:f>PIVOT_TABLE!$G$23:$G$35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PIVOT_TABLE!$H$23:$H$35</c:f>
              <c:numCache>
                <c:formatCode>General</c:formatCode>
                <c:ptCount val="12"/>
                <c:pt idx="0">
                  <c:v>276</c:v>
                </c:pt>
                <c:pt idx="1">
                  <c:v>2637</c:v>
                </c:pt>
                <c:pt idx="2">
                  <c:v>3399</c:v>
                </c:pt>
                <c:pt idx="3">
                  <c:v>3967</c:v>
                </c:pt>
                <c:pt idx="4">
                  <c:v>3622</c:v>
                </c:pt>
                <c:pt idx="5">
                  <c:v>2416</c:v>
                </c:pt>
                <c:pt idx="6">
                  <c:v>3897</c:v>
                </c:pt>
                <c:pt idx="7">
                  <c:v>3587</c:v>
                </c:pt>
                <c:pt idx="8">
                  <c:v>3971</c:v>
                </c:pt>
                <c:pt idx="9">
                  <c:v>2049</c:v>
                </c:pt>
                <c:pt idx="10">
                  <c:v>3198</c:v>
                </c:pt>
                <c:pt idx="11">
                  <c:v>3105</c:v>
                </c:pt>
              </c:numCache>
            </c:numRef>
          </c:val>
          <c:extLst>
            <c:ext xmlns:c16="http://schemas.microsoft.com/office/drawing/2014/chart" uri="{C3380CC4-5D6E-409C-BE32-E72D297353CC}">
              <c16:uniqueId val="{00000000-E2E7-4378-846D-1D5228651684}"/>
            </c:ext>
          </c:extLst>
        </c:ser>
        <c:ser>
          <c:idx val="1"/>
          <c:order val="1"/>
          <c:tx>
            <c:strRef>
              <c:f>PIVOT_TABLE!$I$21:$I$22</c:f>
              <c:strCache>
                <c:ptCount val="1"/>
                <c:pt idx="0">
                  <c:v>2024</c:v>
                </c:pt>
              </c:strCache>
            </c:strRef>
          </c:tx>
          <c:spPr>
            <a:solidFill>
              <a:schemeClr val="accent2"/>
            </a:solidFill>
            <a:ln>
              <a:noFill/>
            </a:ln>
            <a:effectLst/>
            <a:sp3d/>
          </c:spPr>
          <c:invertIfNegative val="0"/>
          <c:cat>
            <c:strRef>
              <c:f>PIVOT_TABLE!$G$23:$G$35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PIVOT_TABLE!$I$23:$I$35</c:f>
              <c:numCache>
                <c:formatCode>General</c:formatCode>
                <c:ptCount val="12"/>
                <c:pt idx="0">
                  <c:v>2850</c:v>
                </c:pt>
                <c:pt idx="1">
                  <c:v>6332</c:v>
                </c:pt>
                <c:pt idx="2">
                  <c:v>5209</c:v>
                </c:pt>
                <c:pt idx="3">
                  <c:v>5178</c:v>
                </c:pt>
                <c:pt idx="4">
                  <c:v>5194</c:v>
                </c:pt>
                <c:pt idx="5">
                  <c:v>4882</c:v>
                </c:pt>
                <c:pt idx="6">
                  <c:v>3679</c:v>
                </c:pt>
                <c:pt idx="7">
                  <c:v>3546</c:v>
                </c:pt>
                <c:pt idx="8">
                  <c:v>3987</c:v>
                </c:pt>
                <c:pt idx="9">
                  <c:v>3886</c:v>
                </c:pt>
                <c:pt idx="10">
                  <c:v>3414</c:v>
                </c:pt>
                <c:pt idx="11">
                  <c:v>4395</c:v>
                </c:pt>
              </c:numCache>
            </c:numRef>
          </c:val>
          <c:extLst>
            <c:ext xmlns:c16="http://schemas.microsoft.com/office/drawing/2014/chart" uri="{C3380CC4-5D6E-409C-BE32-E72D297353CC}">
              <c16:uniqueId val="{0000001E-5905-41CA-850E-BC015503B685}"/>
            </c:ext>
          </c:extLst>
        </c:ser>
        <c:ser>
          <c:idx val="2"/>
          <c:order val="2"/>
          <c:tx>
            <c:strRef>
              <c:f>PIVOT_TABLE!$J$21:$J$22</c:f>
              <c:strCache>
                <c:ptCount val="1"/>
                <c:pt idx="0">
                  <c:v>2025</c:v>
                </c:pt>
              </c:strCache>
            </c:strRef>
          </c:tx>
          <c:spPr>
            <a:solidFill>
              <a:schemeClr val="accent3"/>
            </a:solidFill>
            <a:ln>
              <a:noFill/>
            </a:ln>
            <a:effectLst/>
            <a:sp3d/>
          </c:spPr>
          <c:invertIfNegative val="0"/>
          <c:cat>
            <c:strRef>
              <c:f>PIVOT_TABLE!$G$23:$G$35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PIVOT_TABLE!$J$23:$J$35</c:f>
              <c:numCache>
                <c:formatCode>General</c:formatCode>
                <c:ptCount val="12"/>
                <c:pt idx="0">
                  <c:v>1750</c:v>
                </c:pt>
                <c:pt idx="1">
                  <c:v>341</c:v>
                </c:pt>
                <c:pt idx="2">
                  <c:v>190</c:v>
                </c:pt>
                <c:pt idx="3">
                  <c:v>230</c:v>
                </c:pt>
                <c:pt idx="4">
                  <c:v>512</c:v>
                </c:pt>
                <c:pt idx="5">
                  <c:v>138</c:v>
                </c:pt>
                <c:pt idx="6">
                  <c:v>88</c:v>
                </c:pt>
                <c:pt idx="7">
                  <c:v>147</c:v>
                </c:pt>
                <c:pt idx="9">
                  <c:v>263</c:v>
                </c:pt>
                <c:pt idx="10">
                  <c:v>182</c:v>
                </c:pt>
                <c:pt idx="11">
                  <c:v>124</c:v>
                </c:pt>
              </c:numCache>
            </c:numRef>
          </c:val>
          <c:extLst>
            <c:ext xmlns:c16="http://schemas.microsoft.com/office/drawing/2014/chart" uri="{C3380CC4-5D6E-409C-BE32-E72D297353CC}">
              <c16:uniqueId val="{0000001F-5905-41CA-850E-BC015503B685}"/>
            </c:ext>
          </c:extLst>
        </c:ser>
        <c:dLbls>
          <c:showLegendKey val="0"/>
          <c:showVal val="0"/>
          <c:showCatName val="0"/>
          <c:showSerName val="0"/>
          <c:showPercent val="0"/>
          <c:showBubbleSize val="0"/>
        </c:dLbls>
        <c:gapWidth val="150"/>
        <c:shape val="box"/>
        <c:axId val="345261200"/>
        <c:axId val="345260240"/>
        <c:axId val="0"/>
      </c:bar3DChart>
      <c:catAx>
        <c:axId val="345261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260240"/>
        <c:crosses val="autoZero"/>
        <c:auto val="1"/>
        <c:lblAlgn val="ctr"/>
        <c:lblOffset val="100"/>
        <c:noMultiLvlLbl val="0"/>
      </c:catAx>
      <c:valAx>
        <c:axId val="34526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26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[HHS_Unaccompanied_Alien_Children_Program.csv.xlsx]PIVOT_TABLE!PivotTable35</c:name>
    <c:fmtId val="3"/>
  </c:pivotSource>
  <c:chart>
    <c:title>
      <c:tx>
        <c:rich>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r>
              <a:rPr lang="en-IN" sz="1000" b="1" i="0" u="sng" strike="noStrike" baseline="0">
                <a:solidFill>
                  <a:schemeClr val="tx1"/>
                </a:solidFill>
              </a:rPr>
              <a:t>MONTHLY CHILDREN DISCHARGED FROM HHS CARE (2023–2025)</a:t>
            </a:r>
            <a:endParaRPr lang="en-IN" sz="1000" b="1" u="sng">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PIVOT_TABLE!$N$21:$N$22</c:f>
              <c:strCache>
                <c:ptCount val="1"/>
                <c:pt idx="0">
                  <c:v>2023</c:v>
                </c:pt>
              </c:strCache>
            </c:strRef>
          </c:tx>
          <c:spPr>
            <a:solidFill>
              <a:schemeClr val="accent1"/>
            </a:solidFill>
            <a:ln>
              <a:noFill/>
            </a:ln>
            <a:effectLst/>
            <a:sp3d/>
          </c:spPr>
          <c:invertIfNegative val="0"/>
          <c:cat>
            <c:strRef>
              <c:f>PIVOT_TABLE!$M$23:$M$35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PIVOT_TABLE!$N$23:$N$35</c:f>
              <c:numCache>
                <c:formatCode>General</c:formatCode>
                <c:ptCount val="12"/>
                <c:pt idx="0">
                  <c:v>1856</c:v>
                </c:pt>
                <c:pt idx="1">
                  <c:v>5183</c:v>
                </c:pt>
                <c:pt idx="2">
                  <c:v>5375</c:v>
                </c:pt>
                <c:pt idx="3">
                  <c:v>5668</c:v>
                </c:pt>
                <c:pt idx="4">
                  <c:v>6256</c:v>
                </c:pt>
                <c:pt idx="5">
                  <c:v>4029</c:v>
                </c:pt>
                <c:pt idx="6">
                  <c:v>4407</c:v>
                </c:pt>
                <c:pt idx="7">
                  <c:v>6470</c:v>
                </c:pt>
                <c:pt idx="8">
                  <c:v>6546</c:v>
                </c:pt>
                <c:pt idx="9">
                  <c:v>7658</c:v>
                </c:pt>
                <c:pt idx="10">
                  <c:v>5992</c:v>
                </c:pt>
                <c:pt idx="11">
                  <c:v>6804</c:v>
                </c:pt>
              </c:numCache>
            </c:numRef>
          </c:val>
          <c:extLst>
            <c:ext xmlns:c16="http://schemas.microsoft.com/office/drawing/2014/chart" uri="{C3380CC4-5D6E-409C-BE32-E72D297353CC}">
              <c16:uniqueId val="{00000000-7E53-40FF-BAAC-2D94689F4AA2}"/>
            </c:ext>
          </c:extLst>
        </c:ser>
        <c:ser>
          <c:idx val="1"/>
          <c:order val="1"/>
          <c:tx>
            <c:strRef>
              <c:f>PIVOT_TABLE!$O$21:$O$22</c:f>
              <c:strCache>
                <c:ptCount val="1"/>
                <c:pt idx="0">
                  <c:v>2024</c:v>
                </c:pt>
              </c:strCache>
            </c:strRef>
          </c:tx>
          <c:spPr>
            <a:solidFill>
              <a:schemeClr val="accent2"/>
            </a:solidFill>
            <a:ln>
              <a:noFill/>
            </a:ln>
            <a:effectLst/>
            <a:sp3d/>
          </c:spPr>
          <c:invertIfNegative val="0"/>
          <c:cat>
            <c:strRef>
              <c:f>PIVOT_TABLE!$M$23:$M$35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PIVOT_TABLE!$O$23:$O$35</c:f>
              <c:numCache>
                <c:formatCode>General</c:formatCode>
                <c:ptCount val="12"/>
                <c:pt idx="0">
                  <c:v>6496</c:v>
                </c:pt>
                <c:pt idx="1">
                  <c:v>5273</c:v>
                </c:pt>
                <c:pt idx="2">
                  <c:v>5678</c:v>
                </c:pt>
                <c:pt idx="3">
                  <c:v>4474</c:v>
                </c:pt>
                <c:pt idx="4">
                  <c:v>4336</c:v>
                </c:pt>
                <c:pt idx="5">
                  <c:v>4911</c:v>
                </c:pt>
                <c:pt idx="6">
                  <c:v>3899</c:v>
                </c:pt>
                <c:pt idx="7">
                  <c:v>3073</c:v>
                </c:pt>
                <c:pt idx="8">
                  <c:v>3692</c:v>
                </c:pt>
                <c:pt idx="9">
                  <c:v>3194</c:v>
                </c:pt>
                <c:pt idx="10">
                  <c:v>3001</c:v>
                </c:pt>
                <c:pt idx="11">
                  <c:v>3662</c:v>
                </c:pt>
              </c:numCache>
            </c:numRef>
          </c:val>
          <c:extLst>
            <c:ext xmlns:c16="http://schemas.microsoft.com/office/drawing/2014/chart" uri="{C3380CC4-5D6E-409C-BE32-E72D297353CC}">
              <c16:uniqueId val="{0000001C-883B-47EE-B6C9-A36DDB9EF1C8}"/>
            </c:ext>
          </c:extLst>
        </c:ser>
        <c:ser>
          <c:idx val="2"/>
          <c:order val="2"/>
          <c:tx>
            <c:strRef>
              <c:f>PIVOT_TABLE!$P$21:$P$22</c:f>
              <c:strCache>
                <c:ptCount val="1"/>
                <c:pt idx="0">
                  <c:v>2025</c:v>
                </c:pt>
              </c:strCache>
            </c:strRef>
          </c:tx>
          <c:spPr>
            <a:solidFill>
              <a:schemeClr val="accent3"/>
            </a:solidFill>
            <a:ln>
              <a:noFill/>
            </a:ln>
            <a:effectLst/>
            <a:sp3d/>
          </c:spPr>
          <c:invertIfNegative val="0"/>
          <c:cat>
            <c:strRef>
              <c:f>PIVOT_TABLE!$M$23:$M$35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PIVOT_TABLE!$P$23:$P$35</c:f>
              <c:numCache>
                <c:formatCode>General</c:formatCode>
                <c:ptCount val="12"/>
                <c:pt idx="0">
                  <c:v>3330</c:v>
                </c:pt>
                <c:pt idx="1">
                  <c:v>1160</c:v>
                </c:pt>
                <c:pt idx="2">
                  <c:v>309</c:v>
                </c:pt>
                <c:pt idx="3">
                  <c:v>203</c:v>
                </c:pt>
                <c:pt idx="4">
                  <c:v>442</c:v>
                </c:pt>
                <c:pt idx="5">
                  <c:v>281</c:v>
                </c:pt>
                <c:pt idx="6">
                  <c:v>396</c:v>
                </c:pt>
                <c:pt idx="7">
                  <c:v>254</c:v>
                </c:pt>
                <c:pt idx="9">
                  <c:v>242</c:v>
                </c:pt>
                <c:pt idx="10">
                  <c:v>159</c:v>
                </c:pt>
                <c:pt idx="11">
                  <c:v>144</c:v>
                </c:pt>
              </c:numCache>
            </c:numRef>
          </c:val>
          <c:extLst>
            <c:ext xmlns:c16="http://schemas.microsoft.com/office/drawing/2014/chart" uri="{C3380CC4-5D6E-409C-BE32-E72D297353CC}">
              <c16:uniqueId val="{0000001D-883B-47EE-B6C9-A36DDB9EF1C8}"/>
            </c:ext>
          </c:extLst>
        </c:ser>
        <c:dLbls>
          <c:showLegendKey val="0"/>
          <c:showVal val="0"/>
          <c:showCatName val="0"/>
          <c:showSerName val="0"/>
          <c:showPercent val="0"/>
          <c:showBubbleSize val="0"/>
        </c:dLbls>
        <c:gapWidth val="150"/>
        <c:shape val="box"/>
        <c:axId val="368744320"/>
        <c:axId val="368741920"/>
        <c:axId val="0"/>
      </c:bar3DChart>
      <c:catAx>
        <c:axId val="36874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741920"/>
        <c:crosses val="autoZero"/>
        <c:auto val="1"/>
        <c:lblAlgn val="ctr"/>
        <c:lblOffset val="100"/>
        <c:noMultiLvlLbl val="0"/>
      </c:catAx>
      <c:valAx>
        <c:axId val="36874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74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[HHS_Unaccompanied_Alien_Children_Program.csv.xlsx]PIVOT_TABLE!PivotTable41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sng" strike="noStrike" baseline="0">
                <a:solidFill>
                  <a:schemeClr val="tx1"/>
                </a:solidFill>
              </a:rPr>
              <a:t>MONTHLY CBP CUSTODY VS HHS CARE COMPARISON (2023–2025)</a:t>
            </a:r>
            <a:endParaRPr lang="en-IN" sz="1100"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PIVOT_TABLE!$D$38:$D$40</c:f>
              <c:strCache>
                <c:ptCount val="1"/>
                <c:pt idx="0">
                  <c:v>Average of Children in CBP custody - 2023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PIVOT_TABLE!$C$41:$C$53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PIVOT_TABLE!$D$41:$D$53</c:f>
              <c:numCache>
                <c:formatCode>0.00</c:formatCode>
                <c:ptCount val="12"/>
                <c:pt idx="0">
                  <c:v>43.875</c:v>
                </c:pt>
                <c:pt idx="1">
                  <c:v>171.31578947368422</c:v>
                </c:pt>
                <c:pt idx="2">
                  <c:v>245.10526315789474</c:v>
                </c:pt>
                <c:pt idx="3">
                  <c:v>250.1904761904762</c:v>
                </c:pt>
                <c:pt idx="4">
                  <c:v>216.95454545454547</c:v>
                </c:pt>
                <c:pt idx="5">
                  <c:v>145.65</c:v>
                </c:pt>
                <c:pt idx="6">
                  <c:v>245.28571428571428</c:v>
                </c:pt>
                <c:pt idx="7">
                  <c:v>237.2</c:v>
                </c:pt>
                <c:pt idx="8">
                  <c:v>291.05263157894734</c:v>
                </c:pt>
                <c:pt idx="9">
                  <c:v>102.90909090909091</c:v>
                </c:pt>
                <c:pt idx="10">
                  <c:v>183.5</c:v>
                </c:pt>
                <c:pt idx="11">
                  <c:v>186.63157894736841</c:v>
                </c:pt>
              </c:numCache>
            </c:numRef>
          </c:val>
          <c:smooth val="0"/>
          <c:extLst>
            <c:ext xmlns:c16="http://schemas.microsoft.com/office/drawing/2014/chart" uri="{C3380CC4-5D6E-409C-BE32-E72D297353CC}">
              <c16:uniqueId val="{00000000-BB84-4DBD-8089-41E72DF7571B}"/>
            </c:ext>
          </c:extLst>
        </c:ser>
        <c:ser>
          <c:idx val="1"/>
          <c:order val="1"/>
          <c:tx>
            <c:strRef>
              <c:f>PIVOT_TABLE!$E$38:$E$40</c:f>
              <c:strCache>
                <c:ptCount val="1"/>
                <c:pt idx="0">
                  <c:v>Average of Children in CBP custody - 2024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PIVOT_TABLE!$C$41:$C$53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PIVOT_TABLE!$E$41:$E$53</c:f>
              <c:numCache>
                <c:formatCode>0.00</c:formatCode>
                <c:ptCount val="12"/>
                <c:pt idx="0">
                  <c:v>170.59090909090909</c:v>
                </c:pt>
                <c:pt idx="1">
                  <c:v>441.6</c:v>
                </c:pt>
                <c:pt idx="2">
                  <c:v>321.1904761904762</c:v>
                </c:pt>
                <c:pt idx="3">
                  <c:v>309.18181818181819</c:v>
                </c:pt>
                <c:pt idx="4">
                  <c:v>345.76190476190476</c:v>
                </c:pt>
                <c:pt idx="5">
                  <c:v>283.95238095238096</c:v>
                </c:pt>
                <c:pt idx="6">
                  <c:v>212.42857142857142</c:v>
                </c:pt>
                <c:pt idx="7">
                  <c:v>254.47368421052633</c:v>
                </c:pt>
                <c:pt idx="8">
                  <c:v>239.22727272727272</c:v>
                </c:pt>
                <c:pt idx="9">
                  <c:v>243.42857142857142</c:v>
                </c:pt>
                <c:pt idx="10">
                  <c:v>236.73684210526315</c:v>
                </c:pt>
                <c:pt idx="11">
                  <c:v>271.72727272727275</c:v>
                </c:pt>
              </c:numCache>
            </c:numRef>
          </c:val>
          <c:smooth val="0"/>
          <c:extLst>
            <c:ext xmlns:c16="http://schemas.microsoft.com/office/drawing/2014/chart" uri="{C3380CC4-5D6E-409C-BE32-E72D297353CC}">
              <c16:uniqueId val="{00000001-BB84-4DBD-8089-41E72DF7571B}"/>
            </c:ext>
          </c:extLst>
        </c:ser>
        <c:ser>
          <c:idx val="2"/>
          <c:order val="2"/>
          <c:tx>
            <c:strRef>
              <c:f>PIVOT_TABLE!$F$38:$F$40</c:f>
              <c:strCache>
                <c:ptCount val="1"/>
                <c:pt idx="0">
                  <c:v>Average of Children in CBP custody - 2025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PIVOT_TABLE!$C$41:$C$53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PIVOT_TABLE!$F$41:$F$53</c:f>
              <c:numCache>
                <c:formatCode>0.00</c:formatCode>
                <c:ptCount val="12"/>
                <c:pt idx="0">
                  <c:v>88.954545454545453</c:v>
                </c:pt>
                <c:pt idx="1">
                  <c:v>22.684210526315791</c:v>
                </c:pt>
                <c:pt idx="2">
                  <c:v>21.454545454545453</c:v>
                </c:pt>
                <c:pt idx="3">
                  <c:v>24.869565217391305</c:v>
                </c:pt>
                <c:pt idx="4">
                  <c:v>1028.875</c:v>
                </c:pt>
                <c:pt idx="5">
                  <c:v>19.058823529411764</c:v>
                </c:pt>
                <c:pt idx="6">
                  <c:v>13.952380952380953</c:v>
                </c:pt>
                <c:pt idx="7">
                  <c:v>25.6</c:v>
                </c:pt>
                <c:pt idx="9">
                  <c:v>34.333333333333336</c:v>
                </c:pt>
                <c:pt idx="10">
                  <c:v>34.789473684210527</c:v>
                </c:pt>
                <c:pt idx="11">
                  <c:v>36.200000000000003</c:v>
                </c:pt>
              </c:numCache>
            </c:numRef>
          </c:val>
          <c:smooth val="0"/>
          <c:extLst>
            <c:ext xmlns:c16="http://schemas.microsoft.com/office/drawing/2014/chart" uri="{C3380CC4-5D6E-409C-BE32-E72D297353CC}">
              <c16:uniqueId val="{00000041-BB84-4DBD-8089-41E72DF7571B}"/>
            </c:ext>
          </c:extLst>
        </c:ser>
        <c:ser>
          <c:idx val="3"/>
          <c:order val="3"/>
          <c:tx>
            <c:strRef>
              <c:f>PIVOT_TABLE!$G$38:$G$40</c:f>
              <c:strCache>
                <c:ptCount val="1"/>
                <c:pt idx="0">
                  <c:v>Average of Children in HHS Care - 2023</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PIVOT_TABLE!$C$41:$C$53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PIVOT_TABLE!$G$41:$G$53</c:f>
              <c:numCache>
                <c:formatCode>0.00</c:formatCode>
                <c:ptCount val="12"/>
                <c:pt idx="0">
                  <c:v>7369.625</c:v>
                </c:pt>
                <c:pt idx="1">
                  <c:v>7795.7894736842109</c:v>
                </c:pt>
                <c:pt idx="2">
                  <c:v>7945.3684210526317</c:v>
                </c:pt>
                <c:pt idx="3">
                  <c:v>7842.666666666667</c:v>
                </c:pt>
                <c:pt idx="4">
                  <c:v>8187.136363636364</c:v>
                </c:pt>
                <c:pt idx="5">
                  <c:v>6136.45</c:v>
                </c:pt>
                <c:pt idx="6">
                  <c:v>6828.0952380952385</c:v>
                </c:pt>
                <c:pt idx="7">
                  <c:v>9347.9</c:v>
                </c:pt>
                <c:pt idx="8">
                  <c:v>10701.315789473685</c:v>
                </c:pt>
                <c:pt idx="9">
                  <c:v>10205.318181818182</c:v>
                </c:pt>
                <c:pt idx="10">
                  <c:v>9726.1</c:v>
                </c:pt>
                <c:pt idx="11">
                  <c:v>11068.631578947368</c:v>
                </c:pt>
              </c:numCache>
            </c:numRef>
          </c:val>
          <c:smooth val="0"/>
          <c:extLst>
            <c:ext xmlns:c16="http://schemas.microsoft.com/office/drawing/2014/chart" uri="{C3380CC4-5D6E-409C-BE32-E72D297353CC}">
              <c16:uniqueId val="{00000042-BB84-4DBD-8089-41E72DF7571B}"/>
            </c:ext>
          </c:extLst>
        </c:ser>
        <c:ser>
          <c:idx val="4"/>
          <c:order val="4"/>
          <c:tx>
            <c:strRef>
              <c:f>PIVOT_TABLE!$H$38:$H$40</c:f>
              <c:strCache>
                <c:ptCount val="1"/>
                <c:pt idx="0">
                  <c:v>Average of Children in HHS Care - 2024</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PIVOT_TABLE!$C$41:$C$53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PIVOT_TABLE!$H$41:$H$53</c:f>
              <c:numCache>
                <c:formatCode>0.00</c:formatCode>
                <c:ptCount val="12"/>
                <c:pt idx="0">
                  <c:v>8851.045454545454</c:v>
                </c:pt>
                <c:pt idx="1">
                  <c:v>8325.2000000000007</c:v>
                </c:pt>
                <c:pt idx="2">
                  <c:v>8382.6666666666661</c:v>
                </c:pt>
                <c:pt idx="3">
                  <c:v>7027.136363636364</c:v>
                </c:pt>
                <c:pt idx="4">
                  <c:v>7490.2857142857147</c:v>
                </c:pt>
                <c:pt idx="5">
                  <c:v>7407.5238095238092</c:v>
                </c:pt>
                <c:pt idx="6">
                  <c:v>6286.333333333333</c:v>
                </c:pt>
                <c:pt idx="7">
                  <c:v>6004.2631578947367</c:v>
                </c:pt>
                <c:pt idx="8">
                  <c:v>6213.409090909091</c:v>
                </c:pt>
                <c:pt idx="9">
                  <c:v>6032.8571428571431</c:v>
                </c:pt>
                <c:pt idx="10">
                  <c:v>5914.6842105263158</c:v>
                </c:pt>
                <c:pt idx="11">
                  <c:v>6418.681818181818</c:v>
                </c:pt>
              </c:numCache>
            </c:numRef>
          </c:val>
          <c:smooth val="0"/>
          <c:extLst>
            <c:ext xmlns:c16="http://schemas.microsoft.com/office/drawing/2014/chart" uri="{C3380CC4-5D6E-409C-BE32-E72D297353CC}">
              <c16:uniqueId val="{00000043-BB84-4DBD-8089-41E72DF7571B}"/>
            </c:ext>
          </c:extLst>
        </c:ser>
        <c:ser>
          <c:idx val="5"/>
          <c:order val="5"/>
          <c:tx>
            <c:strRef>
              <c:f>PIVOT_TABLE!$I$38:$I$40</c:f>
              <c:strCache>
                <c:ptCount val="1"/>
                <c:pt idx="0">
                  <c:v>Average of Children in HHS Care - 2025</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PIVOT_TABLE!$C$41:$C$53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PIVOT_TABLE!$I$41:$I$53</c:f>
              <c:numCache>
                <c:formatCode>0.00</c:formatCode>
                <c:ptCount val="12"/>
                <c:pt idx="0">
                  <c:v>4991.090909090909</c:v>
                </c:pt>
                <c:pt idx="1">
                  <c:v>2781.5263157894738</c:v>
                </c:pt>
                <c:pt idx="2">
                  <c:v>2164.4545454545455</c:v>
                </c:pt>
                <c:pt idx="3">
                  <c:v>2273.1304347826085</c:v>
                </c:pt>
                <c:pt idx="4">
                  <c:v>2228.35</c:v>
                </c:pt>
                <c:pt idx="5">
                  <c:v>2492.4117647058824</c:v>
                </c:pt>
                <c:pt idx="6">
                  <c:v>2187.1904761904761</c:v>
                </c:pt>
                <c:pt idx="7">
                  <c:v>2001.3</c:v>
                </c:pt>
                <c:pt idx="9">
                  <c:v>2231.0476190476193</c:v>
                </c:pt>
                <c:pt idx="10">
                  <c:v>2325.8947368421054</c:v>
                </c:pt>
                <c:pt idx="11">
                  <c:v>2445.2666666666669</c:v>
                </c:pt>
              </c:numCache>
            </c:numRef>
          </c:val>
          <c:smooth val="0"/>
          <c:extLst>
            <c:ext xmlns:c16="http://schemas.microsoft.com/office/drawing/2014/chart" uri="{C3380CC4-5D6E-409C-BE32-E72D297353CC}">
              <c16:uniqueId val="{00000044-BB84-4DBD-8089-41E72DF7571B}"/>
            </c:ext>
          </c:extLst>
        </c:ser>
        <c:dLbls>
          <c:showLegendKey val="0"/>
          <c:showVal val="0"/>
          <c:showCatName val="0"/>
          <c:showSerName val="0"/>
          <c:showPercent val="0"/>
          <c:showBubbleSize val="0"/>
        </c:dLbls>
        <c:marker val="1"/>
        <c:smooth val="0"/>
        <c:axId val="391929855"/>
        <c:axId val="391935135"/>
      </c:lineChart>
      <c:catAx>
        <c:axId val="39192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35135"/>
        <c:crosses val="autoZero"/>
        <c:auto val="1"/>
        <c:lblAlgn val="ctr"/>
        <c:lblOffset val="100"/>
        <c:noMultiLvlLbl val="0"/>
      </c:catAx>
      <c:valAx>
        <c:axId val="391935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92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[HHS_Unaccompanied_Alien_Children_Program.csv.xlsx]PIVOT_TABLE!PivotTable38</c:name>
    <c:fmtId val="10"/>
  </c:pivotSource>
  <c:chart>
    <c:title>
      <c:tx>
        <c:rich>
          <a:bodyPr/>
          <a:lstStyle/>
          <a:p>
            <a:pPr>
              <a:defRPr/>
            </a:pPr>
            <a:r>
              <a:rPr lang="en-IN" sz="1100" b="1" i="0" u="sng" strike="noStrike" kern="1200" baseline="0">
                <a:solidFill>
                  <a:schemeClr val="tx1"/>
                </a:solidFill>
              </a:rPr>
              <a:t>MONTHLY CHILDREN APPREHENDED TREND (2023–2025)</a:t>
            </a:r>
            <a:endParaRPr lang="en-IN" sz="1100"/>
          </a:p>
        </c:rich>
      </c:tx>
      <c:overlay val="0"/>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1"/>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9.3011982197877444E-2"/>
          <c:y val="0.21764322916666667"/>
          <c:w val="0.87800251055574574"/>
          <c:h val="0.63132638205380576"/>
        </c:manualLayout>
      </c:layout>
      <c:lineChart>
        <c:grouping val="standard"/>
        <c:varyColors val="0"/>
        <c:ser>
          <c:idx val="0"/>
          <c:order val="0"/>
          <c:tx>
            <c:strRef>
              <c:f>PIVOT_TABLE!$C$4:$C$5</c:f>
              <c:strCache>
                <c:ptCount val="1"/>
                <c:pt idx="0">
                  <c:v>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PIVOT_TABLE!$C$6:$C$18</c:f>
              <c:numCache>
                <c:formatCode>General</c:formatCode>
                <c:ptCount val="12"/>
                <c:pt idx="0">
                  <c:v>247</c:v>
                </c:pt>
                <c:pt idx="1">
                  <c:v>1886</c:v>
                </c:pt>
                <c:pt idx="2">
                  <c:v>2479</c:v>
                </c:pt>
                <c:pt idx="3">
                  <c:v>3129</c:v>
                </c:pt>
                <c:pt idx="4">
                  <c:v>2746</c:v>
                </c:pt>
                <c:pt idx="5">
                  <c:v>1774</c:v>
                </c:pt>
                <c:pt idx="6">
                  <c:v>2858</c:v>
                </c:pt>
                <c:pt idx="7">
                  <c:v>2751</c:v>
                </c:pt>
                <c:pt idx="8">
                  <c:v>3194</c:v>
                </c:pt>
                <c:pt idx="9">
                  <c:v>1486</c:v>
                </c:pt>
                <c:pt idx="10">
                  <c:v>2299</c:v>
                </c:pt>
                <c:pt idx="11">
                  <c:v>2207</c:v>
                </c:pt>
              </c:numCache>
            </c:numRef>
          </c:val>
          <c:smooth val="0"/>
          <c:extLst>
            <c:ext xmlns:c16="http://schemas.microsoft.com/office/drawing/2014/chart" uri="{C3380CC4-5D6E-409C-BE32-E72D297353CC}">
              <c16:uniqueId val="{00000007-1FB7-49EE-A39B-48A7090B9850}"/>
            </c:ext>
          </c:extLst>
        </c:ser>
        <c:ser>
          <c:idx val="1"/>
          <c:order val="1"/>
          <c:tx>
            <c:strRef>
              <c:f>PIVOT_TABLE!$D$4:$D$5</c:f>
              <c:strCache>
                <c:ptCount val="1"/>
                <c:pt idx="0">
                  <c:v>2024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PIVOT_TABLE!$D$6:$D$18</c:f>
              <c:numCache>
                <c:formatCode>General</c:formatCode>
                <c:ptCount val="12"/>
                <c:pt idx="0">
                  <c:v>2097</c:v>
                </c:pt>
                <c:pt idx="1">
                  <c:v>4517</c:v>
                </c:pt>
                <c:pt idx="2">
                  <c:v>3377</c:v>
                </c:pt>
                <c:pt idx="3">
                  <c:v>3424</c:v>
                </c:pt>
                <c:pt idx="4">
                  <c:v>3493</c:v>
                </c:pt>
                <c:pt idx="5">
                  <c:v>3376</c:v>
                </c:pt>
                <c:pt idx="6">
                  <c:v>2563</c:v>
                </c:pt>
                <c:pt idx="7">
                  <c:v>2656</c:v>
                </c:pt>
                <c:pt idx="8">
                  <c:v>2783</c:v>
                </c:pt>
                <c:pt idx="9">
                  <c:v>2736</c:v>
                </c:pt>
                <c:pt idx="10">
                  <c:v>2664</c:v>
                </c:pt>
                <c:pt idx="11">
                  <c:v>3480</c:v>
                </c:pt>
              </c:numCache>
            </c:numRef>
          </c:val>
          <c:smooth val="0"/>
          <c:extLst>
            <c:ext xmlns:c16="http://schemas.microsoft.com/office/drawing/2014/chart" uri="{C3380CC4-5D6E-409C-BE32-E72D297353CC}">
              <c16:uniqueId val="{0000001B-1FB7-49EE-A39B-48A7090B9850}"/>
            </c:ext>
          </c:extLst>
        </c:ser>
        <c:ser>
          <c:idx val="2"/>
          <c:order val="2"/>
          <c:tx>
            <c:strRef>
              <c:f>PIVOT_TABLE!$E$4:$E$5</c:f>
              <c:strCache>
                <c:ptCount val="1"/>
                <c:pt idx="0">
                  <c:v>2025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PIVOT_TABLE!$E$6:$E$18</c:f>
              <c:numCache>
                <c:formatCode>General</c:formatCode>
                <c:ptCount val="12"/>
                <c:pt idx="0">
                  <c:v>1311</c:v>
                </c:pt>
                <c:pt idx="1">
                  <c:v>312</c:v>
                </c:pt>
                <c:pt idx="2">
                  <c:v>169</c:v>
                </c:pt>
                <c:pt idx="3">
                  <c:v>189</c:v>
                </c:pt>
                <c:pt idx="4">
                  <c:v>233</c:v>
                </c:pt>
                <c:pt idx="5">
                  <c:v>123</c:v>
                </c:pt>
                <c:pt idx="6">
                  <c:v>70</c:v>
                </c:pt>
                <c:pt idx="7">
                  <c:v>107</c:v>
                </c:pt>
                <c:pt idx="9">
                  <c:v>168</c:v>
                </c:pt>
                <c:pt idx="10">
                  <c:v>129</c:v>
                </c:pt>
                <c:pt idx="11">
                  <c:v>116</c:v>
                </c:pt>
              </c:numCache>
            </c:numRef>
          </c:val>
          <c:smooth val="0"/>
          <c:extLst>
            <c:ext xmlns:c16="http://schemas.microsoft.com/office/drawing/2014/chart" uri="{C3380CC4-5D6E-409C-BE32-E72D297353CC}">
              <c16:uniqueId val="{0000001C-1FB7-49EE-A39B-48A7090B9850}"/>
            </c:ext>
          </c:extLst>
        </c:ser>
        <c:dLbls>
          <c:showLegendKey val="0"/>
          <c:showVal val="0"/>
          <c:showCatName val="0"/>
          <c:showSerName val="0"/>
          <c:showPercent val="0"/>
          <c:showBubbleSize val="0"/>
        </c:dLbls>
        <c:marker val="1"/>
        <c:smooth val="0"/>
        <c:axId val="343685264"/>
        <c:axId val="497483232"/>
      </c:lineChart>
      <c:catAx>
        <c:axId val="34368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483232"/>
        <c:crosses val="autoZero"/>
        <c:auto val="1"/>
        <c:lblAlgn val="ctr"/>
        <c:lblOffset val="100"/>
        <c:noMultiLvlLbl val="0"/>
      </c:catAx>
      <c:valAx>
        <c:axId val="49748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85264"/>
        <c:crosses val="autoZero"/>
        <c:crossBetween val="between"/>
      </c:valAx>
    </c:plotArea>
    <c:plotVisOnly val="1"/>
    <c:dispBlanksAs val="gap"/>
    <c:showDLblsOverMax val="0"/>
    <c:extLst/>
  </c:chart>
  <c:spPr>
    <a:ln>
      <a:solidFill>
        <a:schemeClr val="tx1"/>
      </a:solidFill>
    </a:ln>
    <a:effectLst>
      <a:softEdge rad="584200"/>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[HHS_Unaccompanied_Alien_Children_Program.csv.xlsx]PIVOT_TABLE!PivotTable39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sng" strike="noStrike" kern="1200" spc="0" baseline="0">
                <a:solidFill>
                  <a:schemeClr val="tx1"/>
                </a:solidFill>
              </a:rPr>
              <a:t>MONTHLY AVERAGE CHILDREN IN CBP CUSTODY (2023–2025)</a:t>
            </a:r>
            <a:endParaRPr lang="en-IN" sz="1100"/>
          </a:p>
        </c:rich>
      </c:tx>
      <c:layout>
        <c:manualLayout>
          <c:xMode val="edge"/>
          <c:yMode val="edge"/>
          <c:x val="0.10208333333333332"/>
          <c:y val="0.13081698121068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55314960629921"/>
          <c:y val="0.29239105528475606"/>
          <c:w val="0.84589129483814518"/>
          <c:h val="0.42336426696662915"/>
        </c:manualLayout>
      </c:layout>
      <c:lineChart>
        <c:grouping val="standard"/>
        <c:varyColors val="0"/>
        <c:ser>
          <c:idx val="0"/>
          <c:order val="0"/>
          <c:tx>
            <c:strRef>
              <c:f>PIVOT_TABLE!$I$4:$I$5</c:f>
              <c:strCache>
                <c:ptCount val="1"/>
                <c:pt idx="0">
                  <c:v>2023</c:v>
                </c:pt>
              </c:strCache>
            </c:strRef>
          </c:tx>
          <c:spPr>
            <a:ln w="28575" cap="rnd">
              <a:solidFill>
                <a:schemeClr val="accent1"/>
              </a:solidFill>
              <a:round/>
            </a:ln>
            <a:effectLst/>
          </c:spPr>
          <c:marker>
            <c:symbol val="none"/>
          </c:marker>
          <c:cat>
            <c:strRef>
              <c:f>PIVOT_TABLE!$H$6:$H$18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PIVOT_TABLE!$I$6:$I$18</c:f>
              <c:numCache>
                <c:formatCode>0.00</c:formatCode>
                <c:ptCount val="12"/>
                <c:pt idx="0">
                  <c:v>43.875</c:v>
                </c:pt>
                <c:pt idx="1">
                  <c:v>171.31578947368422</c:v>
                </c:pt>
                <c:pt idx="2">
                  <c:v>245.10526315789474</c:v>
                </c:pt>
                <c:pt idx="3">
                  <c:v>250.1904761904762</c:v>
                </c:pt>
                <c:pt idx="4">
                  <c:v>216.95454545454547</c:v>
                </c:pt>
                <c:pt idx="5">
                  <c:v>145.65</c:v>
                </c:pt>
                <c:pt idx="6">
                  <c:v>245.28571428571428</c:v>
                </c:pt>
                <c:pt idx="7">
                  <c:v>237.2</c:v>
                </c:pt>
                <c:pt idx="8">
                  <c:v>291.05263157894734</c:v>
                </c:pt>
                <c:pt idx="9">
                  <c:v>102.90909090909091</c:v>
                </c:pt>
                <c:pt idx="10">
                  <c:v>183.5</c:v>
                </c:pt>
                <c:pt idx="11">
                  <c:v>186.63157894736841</c:v>
                </c:pt>
              </c:numCache>
            </c:numRef>
          </c:val>
          <c:smooth val="0"/>
          <c:extLst>
            <c:ext xmlns:c16="http://schemas.microsoft.com/office/drawing/2014/chart" uri="{C3380CC4-5D6E-409C-BE32-E72D297353CC}">
              <c16:uniqueId val="{00000000-62D5-4CB3-894C-E35452DF8D93}"/>
            </c:ext>
          </c:extLst>
        </c:ser>
        <c:ser>
          <c:idx val="1"/>
          <c:order val="1"/>
          <c:tx>
            <c:strRef>
              <c:f>PIVOT_TABLE!$J$4:$J$5</c:f>
              <c:strCache>
                <c:ptCount val="1"/>
                <c:pt idx="0">
                  <c:v>2024</c:v>
                </c:pt>
              </c:strCache>
            </c:strRef>
          </c:tx>
          <c:spPr>
            <a:ln w="28575" cap="rnd">
              <a:solidFill>
                <a:schemeClr val="accent2"/>
              </a:solidFill>
              <a:round/>
            </a:ln>
            <a:effectLst/>
          </c:spPr>
          <c:marker>
            <c:symbol val="none"/>
          </c:marker>
          <c:cat>
            <c:strRef>
              <c:f>PIVOT_TABLE!$H$6:$H$18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PIVOT_TABLE!$J$6:$J$18</c:f>
              <c:numCache>
                <c:formatCode>0.00</c:formatCode>
                <c:ptCount val="12"/>
                <c:pt idx="0">
                  <c:v>170.59090909090909</c:v>
                </c:pt>
                <c:pt idx="1">
                  <c:v>441.6</c:v>
                </c:pt>
                <c:pt idx="2">
                  <c:v>321.1904761904762</c:v>
                </c:pt>
                <c:pt idx="3">
                  <c:v>309.18181818181819</c:v>
                </c:pt>
                <c:pt idx="4">
                  <c:v>345.76190476190476</c:v>
                </c:pt>
                <c:pt idx="5">
                  <c:v>283.95238095238096</c:v>
                </c:pt>
                <c:pt idx="6">
                  <c:v>212.42857142857142</c:v>
                </c:pt>
                <c:pt idx="7">
                  <c:v>254.47368421052633</c:v>
                </c:pt>
                <c:pt idx="8">
                  <c:v>239.22727272727272</c:v>
                </c:pt>
                <c:pt idx="9">
                  <c:v>243.42857142857142</c:v>
                </c:pt>
                <c:pt idx="10">
                  <c:v>236.73684210526315</c:v>
                </c:pt>
                <c:pt idx="11">
                  <c:v>271.72727272727275</c:v>
                </c:pt>
              </c:numCache>
            </c:numRef>
          </c:val>
          <c:smooth val="0"/>
          <c:extLst>
            <c:ext xmlns:c16="http://schemas.microsoft.com/office/drawing/2014/chart" uri="{C3380CC4-5D6E-409C-BE32-E72D297353CC}">
              <c16:uniqueId val="{00000013-62D5-4CB3-894C-E35452DF8D93}"/>
            </c:ext>
          </c:extLst>
        </c:ser>
        <c:ser>
          <c:idx val="2"/>
          <c:order val="2"/>
          <c:tx>
            <c:strRef>
              <c:f>PIVOT_TABLE!$K$4:$K$5</c:f>
              <c:strCache>
                <c:ptCount val="1"/>
                <c:pt idx="0">
                  <c:v>2025</c:v>
                </c:pt>
              </c:strCache>
            </c:strRef>
          </c:tx>
          <c:spPr>
            <a:ln w="28575" cap="rnd">
              <a:solidFill>
                <a:schemeClr val="accent3"/>
              </a:solidFill>
              <a:round/>
            </a:ln>
            <a:effectLst/>
          </c:spPr>
          <c:marker>
            <c:symbol val="none"/>
          </c:marker>
          <c:cat>
            <c:strRef>
              <c:f>PIVOT_TABLE!$H$6:$H$18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PIVOT_TABLE!$K$6:$K$18</c:f>
              <c:numCache>
                <c:formatCode>0.00</c:formatCode>
                <c:ptCount val="12"/>
                <c:pt idx="0">
                  <c:v>88.954545454545453</c:v>
                </c:pt>
                <c:pt idx="1">
                  <c:v>22.684210526315791</c:v>
                </c:pt>
                <c:pt idx="2">
                  <c:v>21.454545454545453</c:v>
                </c:pt>
                <c:pt idx="3">
                  <c:v>24.869565217391305</c:v>
                </c:pt>
                <c:pt idx="4">
                  <c:v>1028.875</c:v>
                </c:pt>
                <c:pt idx="5">
                  <c:v>19.058823529411764</c:v>
                </c:pt>
                <c:pt idx="6">
                  <c:v>13.952380952380953</c:v>
                </c:pt>
                <c:pt idx="7">
                  <c:v>25.6</c:v>
                </c:pt>
                <c:pt idx="9">
                  <c:v>34.333333333333336</c:v>
                </c:pt>
                <c:pt idx="10">
                  <c:v>34.789473684210527</c:v>
                </c:pt>
                <c:pt idx="11">
                  <c:v>36.200000000000003</c:v>
                </c:pt>
              </c:numCache>
            </c:numRef>
          </c:val>
          <c:smooth val="0"/>
          <c:extLst>
            <c:ext xmlns:c16="http://schemas.microsoft.com/office/drawing/2014/chart" uri="{C3380CC4-5D6E-409C-BE32-E72D297353CC}">
              <c16:uniqueId val="{00000014-62D5-4CB3-894C-E35452DF8D93}"/>
            </c:ext>
          </c:extLst>
        </c:ser>
        <c:dLbls>
          <c:showLegendKey val="0"/>
          <c:showVal val="0"/>
          <c:showCatName val="0"/>
          <c:showSerName val="0"/>
          <c:showPercent val="0"/>
          <c:showBubbleSize val="0"/>
        </c:dLbls>
        <c:smooth val="0"/>
        <c:axId val="578759583"/>
        <c:axId val="578753343"/>
      </c:lineChart>
      <c:catAx>
        <c:axId val="57875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753343"/>
        <c:crosses val="autoZero"/>
        <c:auto val="1"/>
        <c:lblAlgn val="ctr"/>
        <c:lblOffset val="100"/>
        <c:noMultiLvlLbl val="0"/>
      </c:catAx>
      <c:valAx>
        <c:axId val="578753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75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[HHS_Unaccompanied_Alien_Children_Program.csv.xlsx]PIVOT_TABLE!PivotTable33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sng" strike="noStrike" kern="1200" spc="0" baseline="0">
                <a:solidFill>
                  <a:schemeClr val="tx1"/>
                </a:solidFill>
              </a:rPr>
              <a:t>MONTHLY AVERAGE CHILDREN IN HHS CARE (2023–2025)</a:t>
            </a:r>
            <a:endParaRPr lang="en-IN"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PIVOT_TABLE!$B$21:$B$22</c:f>
              <c:strCache>
                <c:ptCount val="1"/>
                <c:pt idx="0">
                  <c:v>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PIVOT_TABLE!$B$23:$B$35</c:f>
              <c:numCache>
                <c:formatCode>0.0</c:formatCode>
                <c:ptCount val="12"/>
                <c:pt idx="0">
                  <c:v>7369.625</c:v>
                </c:pt>
                <c:pt idx="1">
                  <c:v>7795.7894736842109</c:v>
                </c:pt>
                <c:pt idx="2">
                  <c:v>7945.3684210526317</c:v>
                </c:pt>
                <c:pt idx="3">
                  <c:v>7842.666666666667</c:v>
                </c:pt>
                <c:pt idx="4">
                  <c:v>8187.136363636364</c:v>
                </c:pt>
                <c:pt idx="5">
                  <c:v>6136.45</c:v>
                </c:pt>
                <c:pt idx="6">
                  <c:v>6828.0952380952385</c:v>
                </c:pt>
                <c:pt idx="7">
                  <c:v>9347.9</c:v>
                </c:pt>
                <c:pt idx="8">
                  <c:v>10701.315789473685</c:v>
                </c:pt>
                <c:pt idx="9">
                  <c:v>10205.318181818182</c:v>
                </c:pt>
                <c:pt idx="10">
                  <c:v>9726.1</c:v>
                </c:pt>
                <c:pt idx="11">
                  <c:v>11068.631578947368</c:v>
                </c:pt>
              </c:numCache>
            </c:numRef>
          </c:val>
          <c:smooth val="0"/>
          <c:extLst>
            <c:ext xmlns:c16="http://schemas.microsoft.com/office/drawing/2014/chart" uri="{C3380CC4-5D6E-409C-BE32-E72D297353CC}">
              <c16:uniqueId val="{00000000-6585-474B-AFA8-A0BEF0D48CA1}"/>
            </c:ext>
          </c:extLst>
        </c:ser>
        <c:ser>
          <c:idx val="1"/>
          <c:order val="1"/>
          <c:tx>
            <c:strRef>
              <c:f>PIVOT_TABLE!$C$21:$C$22</c:f>
              <c:strCache>
                <c:ptCount val="1"/>
                <c:pt idx="0">
                  <c:v>2024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PIVOT_TABLE!$C$23:$C$35</c:f>
              <c:numCache>
                <c:formatCode>0.0</c:formatCode>
                <c:ptCount val="12"/>
                <c:pt idx="0">
                  <c:v>8851.045454545454</c:v>
                </c:pt>
                <c:pt idx="1">
                  <c:v>8325.2000000000007</c:v>
                </c:pt>
                <c:pt idx="2">
                  <c:v>8382.6666666666661</c:v>
                </c:pt>
                <c:pt idx="3">
                  <c:v>7027.136363636364</c:v>
                </c:pt>
                <c:pt idx="4">
                  <c:v>7490.2857142857147</c:v>
                </c:pt>
                <c:pt idx="5">
                  <c:v>7407.5238095238092</c:v>
                </c:pt>
                <c:pt idx="6">
                  <c:v>6286.333333333333</c:v>
                </c:pt>
                <c:pt idx="7">
                  <c:v>6004.2631578947367</c:v>
                </c:pt>
                <c:pt idx="8">
                  <c:v>6213.409090909091</c:v>
                </c:pt>
                <c:pt idx="9">
                  <c:v>6032.8571428571431</c:v>
                </c:pt>
                <c:pt idx="10">
                  <c:v>5914.6842105263158</c:v>
                </c:pt>
                <c:pt idx="11">
                  <c:v>6418.681818181818</c:v>
                </c:pt>
              </c:numCache>
            </c:numRef>
          </c:val>
          <c:smooth val="0"/>
          <c:extLst>
            <c:ext xmlns:c16="http://schemas.microsoft.com/office/drawing/2014/chart" uri="{C3380CC4-5D6E-409C-BE32-E72D297353CC}">
              <c16:uniqueId val="{00000013-6585-474B-AFA8-A0BEF0D48CA1}"/>
            </c:ext>
          </c:extLst>
        </c:ser>
        <c:ser>
          <c:idx val="2"/>
          <c:order val="2"/>
          <c:tx>
            <c:strRef>
              <c:f>PIVOT_TABLE!$D$21:$D$22</c:f>
              <c:strCache>
                <c:ptCount val="1"/>
                <c:pt idx="0">
                  <c:v>2025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PIVOT_TABLE!$D$23:$D$35</c:f>
              <c:numCache>
                <c:formatCode>0.0</c:formatCode>
                <c:ptCount val="12"/>
                <c:pt idx="0">
                  <c:v>4991.090909090909</c:v>
                </c:pt>
                <c:pt idx="1">
                  <c:v>2781.5263157894738</c:v>
                </c:pt>
                <c:pt idx="2">
                  <c:v>2164.4545454545455</c:v>
                </c:pt>
                <c:pt idx="3">
                  <c:v>2273.1304347826085</c:v>
                </c:pt>
                <c:pt idx="4">
                  <c:v>2228.35</c:v>
                </c:pt>
                <c:pt idx="5">
                  <c:v>2492.4117647058824</c:v>
                </c:pt>
                <c:pt idx="6">
                  <c:v>2187.1904761904761</c:v>
                </c:pt>
                <c:pt idx="7">
                  <c:v>2001.3</c:v>
                </c:pt>
                <c:pt idx="9">
                  <c:v>2231.0476190476193</c:v>
                </c:pt>
                <c:pt idx="10">
                  <c:v>2325.8947368421054</c:v>
                </c:pt>
                <c:pt idx="11">
                  <c:v>2445.2666666666669</c:v>
                </c:pt>
              </c:numCache>
            </c:numRef>
          </c:val>
          <c:smooth val="0"/>
          <c:extLst>
            <c:ext xmlns:c16="http://schemas.microsoft.com/office/drawing/2014/chart" uri="{C3380CC4-5D6E-409C-BE32-E72D297353CC}">
              <c16:uniqueId val="{00000014-6585-474B-AFA8-A0BEF0D48CA1}"/>
            </c:ext>
          </c:extLst>
        </c:ser>
        <c:dLbls>
          <c:showLegendKey val="0"/>
          <c:showVal val="0"/>
          <c:showCatName val="0"/>
          <c:showSerName val="0"/>
          <c:showPercent val="0"/>
          <c:showBubbleSize val="0"/>
        </c:dLbls>
        <c:marker val="1"/>
        <c:smooth val="0"/>
        <c:axId val="578766783"/>
        <c:axId val="578756223"/>
      </c:lineChart>
      <c:catAx>
        <c:axId val="57876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756223"/>
        <c:crosses val="autoZero"/>
        <c:auto val="1"/>
        <c:lblAlgn val="ctr"/>
        <c:lblOffset val="100"/>
        <c:noMultiLvlLbl val="0"/>
      </c:catAx>
      <c:valAx>
        <c:axId val="57875622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76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14</xdr:row>
      <xdr:rowOff>167640</xdr:rowOff>
    </xdr:from>
    <xdr:to>
      <xdr:col>7</xdr:col>
      <xdr:colOff>525780</xdr:colOff>
      <xdr:row>28</xdr:row>
      <xdr:rowOff>144780</xdr:rowOff>
    </xdr:to>
    <xdr:graphicFrame macro="">
      <xdr:nvGraphicFramePr>
        <xdr:cNvPr id="5" name="Chart 4">
          <a:extLst>
            <a:ext uri="{FF2B5EF4-FFF2-40B4-BE49-F238E27FC236}">
              <a16:creationId xmlns:a16="http://schemas.microsoft.com/office/drawing/2014/main" id="{5A04F549-DC48-42DF-B61D-8E5E97649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xdr:colOff>
      <xdr:row>14</xdr:row>
      <xdr:rowOff>152400</xdr:rowOff>
    </xdr:from>
    <xdr:to>
      <xdr:col>15</xdr:col>
      <xdr:colOff>53340</xdr:colOff>
      <xdr:row>28</xdr:row>
      <xdr:rowOff>175260</xdr:rowOff>
    </xdr:to>
    <xdr:graphicFrame macro="">
      <xdr:nvGraphicFramePr>
        <xdr:cNvPr id="6" name="Chart 5">
          <a:extLst>
            <a:ext uri="{FF2B5EF4-FFF2-40B4-BE49-F238E27FC236}">
              <a16:creationId xmlns:a16="http://schemas.microsoft.com/office/drawing/2014/main" id="{40F1CF22-B373-4703-84ED-AAF074A4A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152400</xdr:colOff>
      <xdr:row>14</xdr:row>
      <xdr:rowOff>121920</xdr:rowOff>
    </xdr:from>
    <xdr:to>
      <xdr:col>23</xdr:col>
      <xdr:colOff>129540</xdr:colOff>
      <xdr:row>28</xdr:row>
      <xdr:rowOff>137160</xdr:rowOff>
    </xdr:to>
    <xdr:graphicFrame macro="">
      <xdr:nvGraphicFramePr>
        <xdr:cNvPr id="7" name="Chart 6">
          <a:extLst>
            <a:ext uri="{FF2B5EF4-FFF2-40B4-BE49-F238E27FC236}">
              <a16:creationId xmlns:a16="http://schemas.microsoft.com/office/drawing/2014/main" id="{09942BBA-2A0D-48E7-B33D-CF32CE610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83820</xdr:colOff>
      <xdr:row>3</xdr:row>
      <xdr:rowOff>175260</xdr:rowOff>
    </xdr:from>
    <xdr:to>
      <xdr:col>7</xdr:col>
      <xdr:colOff>198120</xdr:colOff>
      <xdr:row>14</xdr:row>
      <xdr:rowOff>22860</xdr:rowOff>
    </xdr:to>
    <xdr:graphicFrame macro="">
      <xdr:nvGraphicFramePr>
        <xdr:cNvPr id="12" name="Chart 11">
          <a:extLst>
            <a:ext uri="{FF2B5EF4-FFF2-40B4-BE49-F238E27FC236}">
              <a16:creationId xmlns:a16="http://schemas.microsoft.com/office/drawing/2014/main" id="{9C326755-6315-4013-A919-1C456252F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350520</xdr:colOff>
      <xdr:row>3</xdr:row>
      <xdr:rowOff>160020</xdr:rowOff>
    </xdr:from>
    <xdr:to>
      <xdr:col>15</xdr:col>
      <xdr:colOff>129540</xdr:colOff>
      <xdr:row>13</xdr:row>
      <xdr:rowOff>160020</xdr:rowOff>
    </xdr:to>
    <xdr:graphicFrame macro="">
      <xdr:nvGraphicFramePr>
        <xdr:cNvPr id="14" name="Chart 13">
          <a:extLst>
            <a:ext uri="{FF2B5EF4-FFF2-40B4-BE49-F238E27FC236}">
              <a16:creationId xmlns:a16="http://schemas.microsoft.com/office/drawing/2014/main" id="{CABAF2FC-79CF-4404-B721-32808450E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289560</xdr:colOff>
      <xdr:row>3</xdr:row>
      <xdr:rowOff>160020</xdr:rowOff>
    </xdr:from>
    <xdr:to>
      <xdr:col>23</xdr:col>
      <xdr:colOff>45720</xdr:colOff>
      <xdr:row>14</xdr:row>
      <xdr:rowOff>15240</xdr:rowOff>
    </xdr:to>
    <xdr:graphicFrame macro="">
      <xdr:nvGraphicFramePr>
        <xdr:cNvPr id="15" name="Chart 14">
          <a:extLst>
            <a:ext uri="{FF2B5EF4-FFF2-40B4-BE49-F238E27FC236}">
              <a16:creationId xmlns:a16="http://schemas.microsoft.com/office/drawing/2014/main" id="{59646CA2-637B-4842-90BE-B79751E83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121920</xdr:colOff>
      <xdr:row>1</xdr:row>
      <xdr:rowOff>68581</xdr:rowOff>
    </xdr:from>
    <xdr:to>
      <xdr:col>5</xdr:col>
      <xdr:colOff>533400</xdr:colOff>
      <xdr:row>3</xdr:row>
      <xdr:rowOff>137161</xdr:rowOff>
    </xdr:to>
    <mc:AlternateContent xmlns:mc="http://schemas.openxmlformats.org/markup-compatibility/2006" xmlns:a14="http://schemas.microsoft.com/office/drawing/2010/main">
      <mc:Choice Requires="a14">
        <xdr:graphicFrame macro="">
          <xdr:nvGraphicFramePr>
            <xdr:cNvPr id="16" name="Years (Date)">
              <a:extLst>
                <a:ext uri="{FF2B5EF4-FFF2-40B4-BE49-F238E27FC236}">
                  <a16:creationId xmlns:a16="http://schemas.microsoft.com/office/drawing/2014/main" id="{3472B0E3-2775-4C7F-910F-487CC64715A2}"/>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21920" y="350521"/>
              <a:ext cx="345948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68580</xdr:colOff>
      <xdr:row>1</xdr:row>
      <xdr:rowOff>53341</xdr:rowOff>
    </xdr:from>
    <xdr:to>
      <xdr:col>22</xdr:col>
      <xdr:colOff>556260</xdr:colOff>
      <xdr:row>3</xdr:row>
      <xdr:rowOff>129541</xdr:rowOff>
    </xdr:to>
    <mc:AlternateContent xmlns:mc="http://schemas.openxmlformats.org/markup-compatibility/2006" xmlns:a14="http://schemas.microsoft.com/office/drawing/2010/main">
      <mc:Choice Requires="a14">
        <xdr:graphicFrame macro="">
          <xdr:nvGraphicFramePr>
            <xdr:cNvPr id="17" name="Months (Date)">
              <a:extLst>
                <a:ext uri="{FF2B5EF4-FFF2-40B4-BE49-F238E27FC236}">
                  <a16:creationId xmlns:a16="http://schemas.microsoft.com/office/drawing/2014/main" id="{771C7C3E-B378-456B-982F-570A488C8C3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3726180" y="335281"/>
              <a:ext cx="1024128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0</xdr:rowOff>
    </xdr:from>
    <xdr:to>
      <xdr:col>23</xdr:col>
      <xdr:colOff>53340</xdr:colOff>
      <xdr:row>37</xdr:row>
      <xdr:rowOff>91440</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45435FB1-E85C-4FD5-9C12-3FD8E0DD53D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5852160"/>
              <a:ext cx="140741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426720</xdr:colOff>
      <xdr:row>0</xdr:row>
      <xdr:rowOff>0</xdr:rowOff>
    </xdr:from>
    <xdr:to>
      <xdr:col>5</xdr:col>
      <xdr:colOff>141120</xdr:colOff>
      <xdr:row>1</xdr:row>
      <xdr:rowOff>42060</xdr:rowOff>
    </xdr:to>
    <xdr:pic>
      <xdr:nvPicPr>
        <xdr:cNvPr id="20" name="Graphic 19" descr="Medical with solid fill">
          <a:extLst>
            <a:ext uri="{FF2B5EF4-FFF2-40B4-BE49-F238E27FC236}">
              <a16:creationId xmlns:a16="http://schemas.microsoft.com/office/drawing/2014/main" id="{0EC9E18C-C382-8DDD-BC09-230D29E6AB2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65120" y="0"/>
          <a:ext cx="324000" cy="324000"/>
        </a:xfrm>
        <a:prstGeom prst="rect">
          <a:avLst/>
        </a:prstGeom>
      </xdr:spPr>
    </xdr:pic>
    <xdr:clientData/>
  </xdr:twoCellAnchor>
  <xdr:twoCellAnchor editAs="oneCell">
    <xdr:from>
      <xdr:col>17</xdr:col>
      <xdr:colOff>495300</xdr:colOff>
      <xdr:row>0</xdr:row>
      <xdr:rowOff>0</xdr:rowOff>
    </xdr:from>
    <xdr:to>
      <xdr:col>18</xdr:col>
      <xdr:colOff>209700</xdr:colOff>
      <xdr:row>1</xdr:row>
      <xdr:rowOff>42060</xdr:rowOff>
    </xdr:to>
    <xdr:pic>
      <xdr:nvPicPr>
        <xdr:cNvPr id="21" name="Graphic 20" descr="Medical with solid fill">
          <a:extLst>
            <a:ext uri="{FF2B5EF4-FFF2-40B4-BE49-F238E27FC236}">
              <a16:creationId xmlns:a16="http://schemas.microsoft.com/office/drawing/2014/main" id="{A78FD98E-DED8-4238-85CB-C2E4BEBCAA0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858500" y="0"/>
          <a:ext cx="324000" cy="324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m" refreshedDate="46229.730925000003" createdVersion="8" refreshedVersion="8" minRefreshableVersion="3" recordCount="720" xr:uid="{D540C275-D5E3-4B31-A904-81B7E9EDB7E2}">
  <cacheSource type="worksheet">
    <worksheetSource ref="A1:F721" sheet="CLEAN_DATA"/>
  </cacheSource>
  <cacheFields count="8">
    <cacheField name="Date" numFmtId="14">
      <sharedItems containsSemiMixedTypes="0" containsNonDate="0" containsDate="1" containsString="0" minDate="2023-01-12T00:00:00" maxDate="2025-12-22T00:00:00" count="708">
        <d v="2025-12-21T00:00:00"/>
        <d v="2025-12-18T00:00:00"/>
        <d v="2025-12-17T00:00:00"/>
        <d v="2025-12-16T00:00:00"/>
        <d v="2025-12-15T00:00:00"/>
        <d v="2025-12-14T00:00:00"/>
        <d v="2025-12-11T00:00:00"/>
        <d v="2025-12-10T00:00:00"/>
        <d v="2025-12-09T00:00:00"/>
        <d v="2025-12-08T00:00:00"/>
        <d v="2025-12-07T00:00:00"/>
        <d v="2025-12-04T00:00:00"/>
        <d v="2025-12-03T00:00:00"/>
        <d v="2025-12-02T00:00:00"/>
        <d v="2025-12-01T00:00:00"/>
        <d v="2025-11-30T00:00:00"/>
        <d v="2025-11-27T00:00:00"/>
        <d v="2025-11-25T00:00:00"/>
        <d v="2025-11-24T00:00:00"/>
        <d v="2025-11-23T00:00:00"/>
        <d v="2025-11-20T00:00:00"/>
        <d v="2025-11-19T00:00:00"/>
        <d v="2025-11-18T00:00:00"/>
        <d v="2025-11-17T00:00:00"/>
        <d v="2025-11-16T00:00:00"/>
        <d v="2025-11-13T00:00:00"/>
        <d v="2025-11-12T00:00:00"/>
        <d v="2025-11-11T00:00:00"/>
        <d v="2025-11-09T00:00:00"/>
        <d v="2025-11-06T00:00:00"/>
        <d v="2025-11-05T00:00:00"/>
        <d v="2025-11-04T00:00:00"/>
        <d v="2025-11-03T00:00:00"/>
        <d v="2025-11-02T00:00:00"/>
        <d v="2025-10-30T00:00:00"/>
        <d v="2025-10-29T00:00:00"/>
        <d v="2025-10-28T00:00:00"/>
        <d v="2025-10-27T00:00:00"/>
        <d v="2025-10-26T00:00:00"/>
        <d v="2025-10-23T00:00:00"/>
        <d v="2025-10-22T00:00:00"/>
        <d v="2025-10-21T00:00:00"/>
        <d v="2025-10-20T00:00:00"/>
        <d v="2025-10-19T00:00:00"/>
        <d v="2025-10-16T00:00:00"/>
        <d v="2025-10-15T00:00:00"/>
        <d v="2025-10-14T00:00:00"/>
        <d v="2025-10-13T00:00:00"/>
        <d v="2025-10-09T00:00:00"/>
        <d v="2025-10-08T00:00:00"/>
        <d v="2025-10-07T00:00:00"/>
        <d v="2025-10-06T00:00:00"/>
        <d v="2025-10-05T00:00:00"/>
        <d v="2025-10-02T00:00:00"/>
        <d v="2025-10-01T00:00:00"/>
        <d v="2025-05-30T00:00:00"/>
        <d v="2025-05-29T00:00:00"/>
        <d v="2025-05-28T00:00:00"/>
        <d v="2025-05-25T00:00:00"/>
        <d v="2025-05-24T00:00:00"/>
        <d v="2025-05-23T00:00:00"/>
        <d v="2025-05-22T00:00:00"/>
        <d v="2025-05-21T00:00:00"/>
        <d v="2025-05-18T00:00:00"/>
        <d v="2025-05-17T00:00:00"/>
        <d v="2025-05-16T00:00:00"/>
        <d v="2025-05-15T00:00:00"/>
        <d v="2025-05-14T00:00:00"/>
        <d v="2025-05-11T00:00:00"/>
        <d v="2025-05-10T00:00:00"/>
        <d v="2025-05-09T00:00:00"/>
        <d v="2025-05-08T00:00:00"/>
        <d v="2025-05-07T00:00:00"/>
        <d v="2025-05-04T00:00:00"/>
        <d v="2025-05-03T00:00:00"/>
        <d v="2025-05-02T00:00:00"/>
        <d v="2025-05-01T00:00:00"/>
        <d v="2025-08-28T00:00:00"/>
        <d v="2025-08-27T00:00:00"/>
        <d v="2025-08-26T00:00:00"/>
        <d v="2025-08-25T00:00:00"/>
        <d v="2025-08-24T00:00:00"/>
        <d v="2025-08-21T00:00:00"/>
        <d v="2025-08-20T00:00:00"/>
        <d v="2025-08-19T00:00:00"/>
        <d v="2025-08-18T00:00:00"/>
        <d v="2025-08-17T00:00:00"/>
        <d v="2025-08-14T00:00:00"/>
        <d v="2025-08-13T00:00:00"/>
        <d v="2025-08-12T00:00:00"/>
        <d v="2025-08-11T00:00:00"/>
        <d v="2025-08-10T00:00:00"/>
        <d v="2025-08-07T00:00:00"/>
        <d v="2025-08-06T00:00:00"/>
        <d v="2025-08-05T00:00:00"/>
        <d v="2025-08-04T00:00:00"/>
        <d v="2025-08-03T00:00:00"/>
        <d v="2025-07-31T00:00:00"/>
        <d v="2025-07-30T00:00:00"/>
        <d v="2025-07-29T00:00:00"/>
        <d v="2025-07-28T00:00:00"/>
        <d v="2025-07-27T00:00:00"/>
        <d v="2025-07-24T00:00:00"/>
        <d v="2025-07-23T00:00:00"/>
        <d v="2025-07-22T00:00:00"/>
        <d v="2025-07-21T00:00:00"/>
        <d v="2025-07-17T00:00:00"/>
        <d v="2025-07-16T00:00:00"/>
        <d v="2025-07-15T00:00:00"/>
        <d v="2025-07-14T00:00:00"/>
        <d v="2025-07-13T00:00:00"/>
        <d v="2025-07-10T00:00:00"/>
        <d v="2025-07-09T00:00:00"/>
        <d v="2025-07-08T00:00:00"/>
        <d v="2025-07-07T00:00:00"/>
        <d v="2025-07-06T00:00:00"/>
        <d v="2025-07-02T00:00:00"/>
        <d v="2025-07-01T00:00:00"/>
        <d v="2025-06-30T00:00:00"/>
        <d v="2025-06-29T00:00:00"/>
        <d v="2025-06-26T00:00:00"/>
        <d v="2025-06-25T00:00:00"/>
        <d v="2025-06-24T00:00:00"/>
        <d v="2025-06-23T00:00:00"/>
        <d v="2025-06-22T00:00:00"/>
        <d v="2025-06-19T00:00:00"/>
        <d v="2025-06-17T00:00:00"/>
        <d v="2025-06-10T00:00:00"/>
        <d v="2025-06-09T00:00:00"/>
        <d v="2025-06-08T00:00:00"/>
        <d v="2025-06-05T00:00:00"/>
        <d v="2025-06-04T00:00:00"/>
        <d v="2025-06-03T00:00:00"/>
        <d v="2025-06-02T00:00:00"/>
        <d v="2025-06-01T00:00:00"/>
        <d v="2025-05-27T00:00:00"/>
        <d v="2025-05-19T00:00:00"/>
        <d v="2025-05-13T00:00:00"/>
        <d v="2025-05-12T00:00:00"/>
        <d v="2025-05-06T00:00:00"/>
        <d v="2025-05-05T00:00:00"/>
        <d v="2025-04-30T00:00:00"/>
        <d v="2025-04-29T00:00:00"/>
        <d v="2025-04-28T00:00:00"/>
        <d v="2025-04-27T00:00:00"/>
        <d v="2025-04-24T00:00:00"/>
        <d v="2025-04-23T00:00:00"/>
        <d v="2025-04-22T00:00:00"/>
        <d v="2025-04-21T00:00:00"/>
        <d v="2025-04-20T00:00:00"/>
        <d v="2025-04-17T00:00:00"/>
        <d v="2025-04-16T00:00:00"/>
        <d v="2025-04-15T00:00:00"/>
        <d v="2025-04-14T00:00:00"/>
        <d v="2025-04-13T00:00:00"/>
        <d v="2025-04-11T00:00:00"/>
        <d v="2025-04-10T00:00:00"/>
        <d v="2025-04-09T00:00:00"/>
        <d v="2025-04-08T00:00:00"/>
        <d v="2025-04-07T00:00:00"/>
        <d v="2025-04-06T00:00:00"/>
        <d v="2025-04-03T00:00:00"/>
        <d v="2025-04-02T00:00:00"/>
        <d v="2025-04-01T00:00:00"/>
        <d v="2025-03-31T00:00:00"/>
        <d v="2025-03-30T00:00:00"/>
        <d v="2025-03-27T00:00:00"/>
        <d v="2025-03-26T00:00:00"/>
        <d v="2025-03-25T00:00:00"/>
        <d v="2025-03-24T00:00:00"/>
        <d v="2025-03-23T00:00:00"/>
        <d v="2025-03-20T00:00:00"/>
        <d v="2025-03-19T00:00:00"/>
        <d v="2025-03-18T00:00:00"/>
        <d v="2025-03-17T00:00:00"/>
        <d v="2025-03-16T00:00:00"/>
        <d v="2025-03-13T00:00:00"/>
        <d v="2025-03-12T00:00:00"/>
        <d v="2025-03-11T00:00:00"/>
        <d v="2025-03-10T00:00:00"/>
        <d v="2025-03-09T00:00:00"/>
        <d v="2025-03-06T00:00:00"/>
        <d v="2025-03-05T00:00:00"/>
        <d v="2025-03-04T00:00:00"/>
        <d v="2025-03-03T00:00:00"/>
        <d v="2025-03-02T00:00:00"/>
        <d v="2025-02-27T00:00:00"/>
        <d v="2025-02-26T00:00:00"/>
        <d v="2025-02-25T00:00:00"/>
        <d v="2025-02-24T00:00:00"/>
        <d v="2025-02-23T00:00:00"/>
        <d v="2025-02-20T00:00:00"/>
        <d v="2025-02-19T00:00:00"/>
        <d v="2025-02-18T00:00:00"/>
        <d v="2025-02-17T00:00:00"/>
        <d v="2025-02-13T00:00:00"/>
        <d v="2025-02-12T00:00:00"/>
        <d v="2025-02-11T00:00:00"/>
        <d v="2025-02-10T00:00:00"/>
        <d v="2025-02-09T00:00:00"/>
        <d v="2025-02-06T00:00:00"/>
        <d v="2025-02-05T00:00:00"/>
        <d v="2025-02-04T00:00:00"/>
        <d v="2025-02-03T00:00:00"/>
        <d v="2025-02-02T00:00:00"/>
        <d v="2025-01-30T00:00:00"/>
        <d v="2025-01-29T00:00:00"/>
        <d v="2025-01-28T00:00:00"/>
        <d v="2025-01-27T00:00:00"/>
        <d v="2025-01-26T00:00:00"/>
        <d v="2025-01-23T00:00:00"/>
        <d v="2025-01-22T00:00:00"/>
        <d v="2025-01-21T00:00:00"/>
        <d v="2025-01-20T00:00:00"/>
        <d v="2025-01-19T00:00:00"/>
        <d v="2025-01-16T00:00:00"/>
        <d v="2025-01-15T00:00:00"/>
        <d v="2025-01-14T00:00:00"/>
        <d v="2025-01-13T00:00:00"/>
        <d v="2025-01-12T00:00:00"/>
        <d v="2025-01-09T00:00:00"/>
        <d v="2025-01-08T00:00:00"/>
        <d v="2025-01-07T00:00:00"/>
        <d v="2025-01-06T00:00:00"/>
        <d v="2025-01-05T00:00:00"/>
        <d v="2025-01-02T00:00:00"/>
        <d v="2025-01-01T00:00:00"/>
        <d v="2024-12-30T00:00:00"/>
        <d v="2024-12-29T00:00:00"/>
        <d v="2024-12-26T00:00:00"/>
        <d v="2024-12-25T00:00:00"/>
        <d v="2024-12-24T00:00:00"/>
        <d v="2024-12-23T00:00:00"/>
        <d v="2024-12-22T00:00:00"/>
        <d v="2024-12-19T00:00:00"/>
        <d v="2024-12-18T00:00:00"/>
        <d v="2024-12-17T00:00:00"/>
        <d v="2024-12-16T00:00:00"/>
        <d v="2024-12-15T00:00:00"/>
        <d v="2024-12-12T00:00:00"/>
        <d v="2024-12-11T00:00:00"/>
        <d v="2024-12-10T00:00:00"/>
        <d v="2024-12-09T00:00:00"/>
        <d v="2024-12-08T00:00:00"/>
        <d v="2024-12-05T00:00:00"/>
        <d v="2024-12-04T00:00:00"/>
        <d v="2024-12-03T00:00:00"/>
        <d v="2024-12-02T00:00:00"/>
        <d v="2024-12-01T00:00:00"/>
        <d v="2024-11-28T00:00:00"/>
        <d v="2024-11-27T00:00:00"/>
        <d v="2024-11-26T00:00:00"/>
        <d v="2024-11-25T00:00:00"/>
        <d v="2024-11-24T00:00:00"/>
        <d v="2024-11-21T00:00:00"/>
        <d v="2024-11-20T00:00:00"/>
        <d v="2024-11-19T00:00:00"/>
        <d v="2024-11-18T00:00:00"/>
        <d v="2024-11-17T00:00:00"/>
        <d v="2024-11-14T00:00:00"/>
        <d v="2024-11-13T00:00:00"/>
        <d v="2024-11-12T00:00:00"/>
        <d v="2024-11-11T00:00:00"/>
        <d v="2024-11-07T00:00:00"/>
        <d v="2024-11-06T00:00:00"/>
        <d v="2024-11-05T00:00:00"/>
        <d v="2024-11-04T00:00:00"/>
        <d v="2024-11-03T00:00:00"/>
        <d v="2024-10-31T00:00:00"/>
        <d v="2024-10-30T00:00:00"/>
        <d v="2024-10-29T00:00:00"/>
        <d v="2024-10-28T00:00:00"/>
        <d v="2024-10-27T00:00:00"/>
        <d v="2024-10-23T00:00:00"/>
        <d v="2024-10-22T00:00:00"/>
        <d v="2024-10-21T00:00:00"/>
        <d v="2024-10-20T00:00:00"/>
        <d v="2024-10-17T00:00:00"/>
        <d v="2024-10-16T00:00:00"/>
        <d v="2024-10-15T00:00:00"/>
        <d v="2024-10-14T00:00:00"/>
        <d v="2024-10-13T00:00:00"/>
        <d v="2024-10-10T00:00:00"/>
        <d v="2024-10-09T00:00:00"/>
        <d v="2024-10-08T00:00:00"/>
        <d v="2024-10-07T00:00:00"/>
        <d v="2024-10-03T00:00:00"/>
        <d v="2024-10-02T00:00:00"/>
        <d v="2024-10-01T00:00:00"/>
        <d v="2024-09-30T00:00:00"/>
        <d v="2024-09-29T00:00:00"/>
        <d v="2024-09-26T00:00:00"/>
        <d v="2024-09-25T00:00:00"/>
        <d v="2024-09-24T00:00:00"/>
        <d v="2024-09-23T00:00:00"/>
        <d v="2024-09-22T00:00:00"/>
        <d v="2024-09-19T00:00:00"/>
        <d v="2024-09-18T00:00:00"/>
        <d v="2024-09-17T00:00:00"/>
        <d v="2024-09-16T00:00:00"/>
        <d v="2024-09-15T00:00:00"/>
        <d v="2024-09-14T00:00:00"/>
        <d v="2024-09-13T00:00:00"/>
        <d v="2024-09-12T00:00:00"/>
        <d v="2024-09-10T00:00:00"/>
        <d v="2024-09-09T00:00:00"/>
        <d v="2024-09-08T00:00:00"/>
        <d v="2024-09-05T00:00:00"/>
        <d v="2024-09-04T00:00:00"/>
        <d v="2024-09-03T00:00:00"/>
        <d v="2024-09-02T00:00:00"/>
        <d v="2024-08-29T00:00:00"/>
        <d v="2024-08-28T00:00:00"/>
        <d v="2024-08-27T00:00:00"/>
        <d v="2024-08-22T00:00:00"/>
        <d v="2024-08-21T00:00:00"/>
        <d v="2024-08-20T00:00:00"/>
        <d v="2024-08-19T00:00:00"/>
        <d v="2024-08-18T00:00:00"/>
        <d v="2024-08-15T00:00:00"/>
        <d v="2024-08-14T00:00:00"/>
        <d v="2024-08-13T00:00:00"/>
        <d v="2024-08-12T00:00:00"/>
        <d v="2024-08-11T00:00:00"/>
        <d v="2024-08-08T00:00:00"/>
        <d v="2024-08-07T00:00:00"/>
        <d v="2024-08-06T00:00:00"/>
        <d v="2024-08-05T00:00:00"/>
        <d v="2024-08-04T00:00:00"/>
        <d v="2024-08-01T00:00:00"/>
        <d v="2024-07-31T00:00:00"/>
        <d v="2024-07-30T00:00:00"/>
        <d v="2024-07-29T00:00:00"/>
        <d v="2024-07-28T00:00:00"/>
        <d v="2024-07-25T00:00:00"/>
        <d v="2024-07-24T00:00:00"/>
        <d v="2024-07-23T00:00:00"/>
        <d v="2024-07-22T00:00:00"/>
        <d v="2024-07-21T00:00:00"/>
        <d v="2024-07-17T00:00:00"/>
        <d v="2024-07-16T00:00:00"/>
        <d v="2024-07-15T00:00:00"/>
        <d v="2024-07-14T00:00:00"/>
        <d v="2024-07-11T00:00:00"/>
        <d v="2024-07-10T00:00:00"/>
        <d v="2024-07-09T00:00:00"/>
        <d v="2024-07-08T00:00:00"/>
        <d v="2024-07-07T00:00:00"/>
        <d v="2024-07-04T00:00:00"/>
        <d v="2024-07-02T00:00:00"/>
        <d v="2024-07-01T00:00:00"/>
        <d v="2024-06-30T00:00:00"/>
        <d v="2024-06-27T00:00:00"/>
        <d v="2024-06-26T00:00:00"/>
        <d v="2024-06-25T00:00:00"/>
        <d v="2024-06-24T00:00:00"/>
        <d v="2024-06-23T00:00:00"/>
        <d v="2024-06-20T00:00:00"/>
        <d v="2024-06-19T00:00:00"/>
        <d v="2024-06-18T00:00:00"/>
        <d v="2024-06-17T00:00:00"/>
        <d v="2024-06-16T00:00:00"/>
        <d v="2024-06-13T00:00:00"/>
        <d v="2024-06-12T00:00:00"/>
        <d v="2024-06-11T00:00:00"/>
        <d v="2024-06-10T00:00:00"/>
        <d v="2024-06-09T00:00:00"/>
        <d v="2024-06-06T00:00:00"/>
        <d v="2024-06-05T00:00:00"/>
        <d v="2024-06-04T00:00:00"/>
        <d v="2024-06-03T00:00:00"/>
        <d v="2024-06-02T00:00:00"/>
        <d v="2024-05-30T00:00:00"/>
        <d v="2024-05-29T00:00:00"/>
        <d v="2024-05-28T00:00:00"/>
        <d v="2024-05-27T00:00:00"/>
        <d v="2024-05-23T00:00:00"/>
        <d v="2024-05-22T00:00:00"/>
        <d v="2024-05-21T00:00:00"/>
        <d v="2024-05-20T00:00:00"/>
        <d v="2024-05-19T00:00:00"/>
        <d v="2024-05-16T00:00:00"/>
        <d v="2024-05-15T00:00:00"/>
        <d v="2024-05-14T00:00:00"/>
        <d v="2024-05-13T00:00:00"/>
        <d v="2024-05-12T00:00:00"/>
        <d v="2024-05-09T00:00:00"/>
        <d v="2024-05-08T00:00:00"/>
        <d v="2024-05-07T00:00:00"/>
        <d v="2024-05-06T00:00:00"/>
        <d v="2024-05-05T00:00:00"/>
        <d v="2024-05-02T00:00:00"/>
        <d v="2024-05-01T00:00:00"/>
        <d v="2024-04-30T00:00:00"/>
        <d v="2024-04-29T00:00:00"/>
        <d v="2024-04-28T00:00:00"/>
        <d v="2024-04-25T00:00:00"/>
        <d v="2024-04-24T00:00:00"/>
        <d v="2024-04-23T00:00:00"/>
        <d v="2024-04-22T00:00:00"/>
        <d v="2024-04-21T00:00:00"/>
        <d v="2024-04-18T00:00:00"/>
        <d v="2024-04-17T00:00:00"/>
        <d v="2024-04-16T00:00:00"/>
        <d v="2024-04-15T00:00:00"/>
        <d v="2024-04-14T00:00:00"/>
        <d v="2024-04-11T00:00:00"/>
        <d v="2024-04-10T00:00:00"/>
        <d v="2024-04-09T00:00:00"/>
        <d v="2024-04-08T00:00:00"/>
        <d v="2024-04-07T00:00:00"/>
        <d v="2024-04-04T00:00:00"/>
        <d v="2024-04-03T00:00:00"/>
        <d v="2024-04-02T00:00:00"/>
        <d v="2024-04-01T00:00:00"/>
        <d v="2024-03-31T00:00:00"/>
        <d v="2024-03-28T00:00:00"/>
        <d v="2024-03-27T00:00:00"/>
        <d v="2024-03-26T00:00:00"/>
        <d v="2024-03-25T00:00:00"/>
        <d v="2024-03-24T00:00:00"/>
        <d v="2024-03-21T00:00:00"/>
        <d v="2024-03-20T00:00:00"/>
        <d v="2024-03-19T00:00:00"/>
        <d v="2024-03-18T00:00:00"/>
        <d v="2024-03-17T00:00:00"/>
        <d v="2024-03-14T00:00:00"/>
        <d v="2024-03-13T00:00:00"/>
        <d v="2024-03-12T00:00:00"/>
        <d v="2024-03-11T00:00:00"/>
        <d v="2024-03-10T00:00:00"/>
        <d v="2024-03-07T00:00:00"/>
        <d v="2024-03-06T00:00:00"/>
        <d v="2024-03-05T00:00:00"/>
        <d v="2024-03-04T00:00:00"/>
        <d v="2024-03-03T00:00:00"/>
        <d v="2024-02-29T00:00:00"/>
        <d v="2024-02-28T00:00:00"/>
        <d v="2024-02-27T00:00:00"/>
        <d v="2024-02-26T00:00:00"/>
        <d v="2024-02-25T00:00:00"/>
        <d v="2024-02-22T00:00:00"/>
        <d v="2024-02-21T00:00:00"/>
        <d v="2024-02-20T00:00:00"/>
        <d v="2024-02-19T00:00:00"/>
        <d v="2024-02-15T00:00:00"/>
        <d v="2024-02-14T00:00:00"/>
        <d v="2024-02-13T00:00:00"/>
        <d v="2024-02-12T00:00:00"/>
        <d v="2024-02-11T00:00:00"/>
        <d v="2024-02-08T00:00:00"/>
        <d v="2024-02-07T00:00:00"/>
        <d v="2024-02-06T00:00:00"/>
        <d v="2024-02-05T00:00:00"/>
        <d v="2024-02-04T00:00:00"/>
        <d v="2024-02-01T00:00:00"/>
        <d v="2024-01-31T00:00:00"/>
        <d v="2024-01-30T00:00:00"/>
        <d v="2024-01-29T00:00:00"/>
        <d v="2024-01-28T00:00:00"/>
        <d v="2024-01-25T00:00:00"/>
        <d v="2024-01-24T00:00:00"/>
        <d v="2024-01-23T00:00:00"/>
        <d v="2024-01-22T00:00:00"/>
        <d v="2024-01-21T00:00:00"/>
        <d v="2024-01-18T00:00:00"/>
        <d v="2024-01-17T00:00:00"/>
        <d v="2024-01-16T00:00:00"/>
        <d v="2024-01-15T00:00:00"/>
        <d v="2024-01-11T00:00:00"/>
        <d v="2024-01-10T00:00:00"/>
        <d v="2024-01-09T00:00:00"/>
        <d v="2024-01-08T00:00:00"/>
        <d v="2024-01-07T00:00:00"/>
        <d v="2024-01-04T00:00:00"/>
        <d v="2024-01-03T00:00:00"/>
        <d v="2024-01-02T00:00:00"/>
        <d v="2024-01-01T00:00:00"/>
        <d v="2023-12-28T00:00:00"/>
        <d v="2023-12-27T00:00:00"/>
        <d v="2023-12-26T00:00:00"/>
        <d v="2023-12-25T00:00:00"/>
        <d v="2023-12-21T00:00:00"/>
        <d v="2023-12-20T00:00:00"/>
        <d v="2023-12-19T00:00:00"/>
        <d v="2023-12-18T00:00:00"/>
        <d v="2023-12-17T00:00:00"/>
        <d v="2023-12-14T00:00:00"/>
        <d v="2023-12-13T00:00:00"/>
        <d v="2023-12-12T00:00:00"/>
        <d v="2023-12-11T00:00:00"/>
        <d v="2023-12-10T00:00:00"/>
        <d v="2023-12-07T00:00:00"/>
        <d v="2023-12-06T00:00:00"/>
        <d v="2023-12-05T00:00:00"/>
        <d v="2023-12-04T00:00:00"/>
        <d v="2023-12-03T00:00:00"/>
        <d v="2023-11-30T00:00:00"/>
        <d v="2023-11-29T00:00:00"/>
        <d v="2023-11-28T00:00:00"/>
        <d v="2023-11-27T00:00:00"/>
        <d v="2023-11-26T00:00:00"/>
        <d v="2023-11-23T00:00:00"/>
        <d v="2023-11-21T00:00:00"/>
        <d v="2023-11-20T00:00:00"/>
        <d v="2023-11-19T00:00:00"/>
        <d v="2023-11-16T00:00:00"/>
        <d v="2023-11-15T00:00:00"/>
        <d v="2023-11-14T00:00:00"/>
        <d v="2023-11-13T00:00:00"/>
        <d v="2023-11-12T00:00:00"/>
        <d v="2023-11-08T00:00:00"/>
        <d v="2023-11-07T00:00:00"/>
        <d v="2023-11-06T00:00:00"/>
        <d v="2023-11-05T00:00:00"/>
        <d v="2023-11-02T00:00:00"/>
        <d v="2023-11-01T00:00:00"/>
        <d v="2023-10-31T00:00:00"/>
        <d v="2023-10-30T00:00:00"/>
        <d v="2023-10-29T00:00:00"/>
        <d v="2023-10-26T00:00:00"/>
        <d v="2023-10-25T00:00:00"/>
        <d v="2023-10-24T00:00:00"/>
        <d v="2023-10-23T00:00:00"/>
        <d v="2023-10-22T00:00:00"/>
        <d v="2023-10-19T00:00:00"/>
        <d v="2023-10-18T00:00:00"/>
        <d v="2023-10-17T00:00:00"/>
        <d v="2023-10-16T00:00:00"/>
        <d v="2023-10-15T00:00:00"/>
        <d v="2023-10-12T00:00:00"/>
        <d v="2023-10-11T00:00:00"/>
        <d v="2023-10-10T00:00:00"/>
        <d v="2023-10-09T00:00:00"/>
        <d v="2023-10-05T00:00:00"/>
        <d v="2023-10-04T00:00:00"/>
        <d v="2023-10-03T00:00:00"/>
        <d v="2023-10-02T00:00:00"/>
        <d v="2023-10-01T00:00:00"/>
        <d v="2023-09-28T00:00:00"/>
        <d v="2023-09-27T00:00:00"/>
        <d v="2023-09-26T00:00:00"/>
        <d v="2023-09-25T00:00:00"/>
        <d v="2023-09-24T00:00:00"/>
        <d v="2023-09-21T00:00:00"/>
        <d v="2023-09-20T00:00:00"/>
        <d v="2023-09-19T00:00:00"/>
        <d v="2023-09-18T00:00:00"/>
        <d v="2023-09-17T00:00:00"/>
        <d v="2023-09-14T00:00:00"/>
        <d v="2023-09-13T00:00:00"/>
        <d v="2023-09-12T00:00:00"/>
        <d v="2023-09-11T00:00:00"/>
        <d v="2023-09-10T00:00:00"/>
        <d v="2023-09-07T00:00:00"/>
        <d v="2023-09-06T00:00:00"/>
        <d v="2023-09-05T00:00:00"/>
        <d v="2023-09-04T00:00:00"/>
        <d v="2023-08-31T00:00:00"/>
        <d v="2023-08-30T00:00:00"/>
        <d v="2023-08-29T00:00:00"/>
        <d v="2023-08-28T00:00:00"/>
        <d v="2023-08-27T00:00:00"/>
        <d v="2023-08-24T00:00:00"/>
        <d v="2023-08-23T00:00:00"/>
        <d v="2023-08-22T00:00:00"/>
        <d v="2023-08-21T00:00:00"/>
        <d v="2023-08-20T00:00:00"/>
        <d v="2023-08-17T00:00:00"/>
        <d v="2023-08-16T00:00:00"/>
        <d v="2023-08-10T00:00:00"/>
        <d v="2023-08-09T00:00:00"/>
        <d v="2023-08-08T00:00:00"/>
        <d v="2023-08-07T00:00:00"/>
        <d v="2023-08-06T00:00:00"/>
        <d v="2023-08-03T00:00:00"/>
        <d v="2023-08-02T00:00:00"/>
        <d v="2023-08-01T00:00:00"/>
        <d v="2023-07-31T00:00:00"/>
        <d v="2023-07-30T00:00:00"/>
        <d v="2023-07-27T00:00:00"/>
        <d v="2023-07-26T00:00:00"/>
        <d v="2023-07-25T00:00:00"/>
        <d v="2023-07-24T00:00:00"/>
        <d v="2023-07-23T00:00:00"/>
        <d v="2023-07-20T00:00:00"/>
        <d v="2023-07-19T00:00:00"/>
        <d v="2023-07-18T00:00:00"/>
        <d v="2023-07-17T00:00:00"/>
        <d v="2023-07-16T00:00:00"/>
        <d v="2023-07-13T00:00:00"/>
        <d v="2023-07-12T00:00:00"/>
        <d v="2023-07-11T00:00:00"/>
        <d v="2023-07-10T00:00:00"/>
        <d v="2023-07-09T00:00:00"/>
        <d v="2023-07-06T00:00:00"/>
        <d v="2023-07-05T00:00:00"/>
        <d v="2023-07-04T00:00:00"/>
        <d v="2023-07-02T00:00:00"/>
        <d v="2023-06-29T00:00:00"/>
        <d v="2023-06-28T00:00:00"/>
        <d v="2023-06-27T00:00:00"/>
        <d v="2023-06-26T00:00:00"/>
        <d v="2023-06-25T00:00:00"/>
        <d v="2023-06-22T00:00:00"/>
        <d v="2023-06-21T00:00:00"/>
        <d v="2023-06-20T00:00:00"/>
        <d v="2023-06-19T00:00:00"/>
        <d v="2023-06-15T00:00:00"/>
        <d v="2023-06-14T00:00:00"/>
        <d v="2023-06-13T00:00:00"/>
        <d v="2023-06-12T00:00:00"/>
        <d v="2023-06-11T00:00:00"/>
        <d v="2023-06-08T00:00:00"/>
        <d v="2023-06-07T00:00:00"/>
        <d v="2023-06-06T00:00:00"/>
        <d v="2023-06-05T00:00:00"/>
        <d v="2023-06-04T00:00:00"/>
        <d v="2023-06-01T00:00:00"/>
        <d v="2023-05-31T00:00:00"/>
        <d v="2023-05-30T00:00:00"/>
        <d v="2023-05-29T00:00:00"/>
        <d v="2023-05-25T00:00:00"/>
        <d v="2023-05-24T00:00:00"/>
        <d v="2023-05-23T00:00:00"/>
        <d v="2023-05-22T00:00:00"/>
        <d v="2023-05-21T00:00:00"/>
        <d v="2023-05-18T00:00:00"/>
        <d v="2023-05-17T00:00:00"/>
        <d v="2023-05-16T00:00:00"/>
        <d v="2023-05-15T00:00:00"/>
        <d v="2023-05-14T00:00:00"/>
        <d v="2023-05-11T00:00:00"/>
        <d v="2023-05-10T00:00:00"/>
        <d v="2023-05-09T00:00:00"/>
        <d v="2023-05-08T00:00:00"/>
        <d v="2023-05-07T00:00:00"/>
        <d v="2023-05-04T00:00:00"/>
        <d v="2023-05-03T00:00:00"/>
        <d v="2023-05-02T00:00:00"/>
        <d v="2023-05-01T00:00:00"/>
        <d v="2023-04-30T00:00:00"/>
        <d v="2023-04-27T00:00:00"/>
        <d v="2023-04-26T00:00:00"/>
        <d v="2023-04-25T00:00:00"/>
        <d v="2023-04-24T00:00:00"/>
        <d v="2023-04-23T00:00:00"/>
        <d v="2023-04-20T00:00:00"/>
        <d v="2023-04-19T00:00:00"/>
        <d v="2023-04-18T00:00:00"/>
        <d v="2023-04-17T00:00:00"/>
        <d v="2023-04-16T00:00:00"/>
        <d v="2023-04-13T00:00:00"/>
        <d v="2023-04-12T00:00:00"/>
        <d v="2023-04-11T00:00:00"/>
        <d v="2023-04-10T00:00:00"/>
        <d v="2023-04-09T00:00:00"/>
        <d v="2023-04-06T00:00:00"/>
        <d v="2023-04-05T00:00:00"/>
        <d v="2023-04-04T00:00:00"/>
        <d v="2023-04-03T00:00:00"/>
        <d v="2023-04-02T00:00:00"/>
        <d v="2023-03-30T00:00:00"/>
        <d v="2023-03-29T00:00:00"/>
        <d v="2023-03-28T00:00:00"/>
        <d v="2023-03-27T00:00:00"/>
        <d v="2023-03-26T00:00:00"/>
        <d v="2023-03-23T00:00:00"/>
        <d v="2023-03-22T00:00:00"/>
        <d v="2023-03-21T00:00:00"/>
        <d v="2023-03-20T00:00:00"/>
        <d v="2023-03-19T00:00:00"/>
        <d v="2023-03-16T00:00:00"/>
        <d v="2023-03-15T00:00:00"/>
        <d v="2023-03-14T00:00:00"/>
        <d v="2023-03-13T00:00:00"/>
        <d v="2023-03-09T00:00:00"/>
        <d v="2023-03-08T00:00:00"/>
        <d v="2023-03-07T00:00:00"/>
        <d v="2023-03-02T00:00:00"/>
        <d v="2023-03-01T00:00:00"/>
        <d v="2023-02-28T00:00:00"/>
        <d v="2023-02-27T00:00:00"/>
        <d v="2023-02-26T00:00:00"/>
        <d v="2023-02-23T00:00:00"/>
        <d v="2023-02-22T00:00:00"/>
        <d v="2023-02-21T00:00:00"/>
        <d v="2023-02-20T00:00:00"/>
        <d v="2023-02-16T00:00:00"/>
        <d v="2023-02-15T00:00:00"/>
        <d v="2023-02-14T00:00:00"/>
        <d v="2023-02-13T00:00:00"/>
        <d v="2023-02-12T00:00:00"/>
        <d v="2023-02-09T00:00:00"/>
        <d v="2023-02-08T00:00:00"/>
        <d v="2023-02-07T00:00:00"/>
        <d v="2023-02-06T00:00:00"/>
        <d v="2023-02-05T00:00:00"/>
        <d v="2023-02-02T00:00:00"/>
        <d v="2023-02-01T00:00:00"/>
        <d v="2023-01-31T00:00:00"/>
        <d v="2023-01-30T00:00:00"/>
        <d v="2023-01-29T00:00:00"/>
        <d v="2023-01-25T00:00:00"/>
        <d v="2023-01-24T00:00:00"/>
        <d v="2023-01-23T00:00:00"/>
        <d v="2023-01-22T00:00:00"/>
        <d v="2023-01-12T00:00:00"/>
      </sharedItems>
      <fieldGroup par="7"/>
    </cacheField>
    <cacheField name="Children_Apprehended" numFmtId="0">
      <sharedItems containsMixedTypes="1" containsNumber="1" containsInteger="1" minValue="0" maxValue="333"/>
    </cacheField>
    <cacheField name="Children in CBP custody" numFmtId="0">
      <sharedItems containsSemiMixedTypes="0" containsString="0" containsNumber="1" containsInteger="1" minValue="7" maxValue="2025" count="216">
        <n v="18"/>
        <n v="50"/>
        <n v="31"/>
        <n v="54"/>
        <n v="42"/>
        <n v="35"/>
        <n v="47"/>
        <n v="30"/>
        <n v="27"/>
        <n v="24"/>
        <n v="39"/>
        <n v="32"/>
        <n v="34"/>
        <n v="26"/>
        <n v="40"/>
        <n v="46"/>
        <n v="57"/>
        <n v="38"/>
        <n v="22"/>
        <n v="48"/>
        <n v="33"/>
        <n v="41"/>
        <n v="28"/>
        <n v="21"/>
        <n v="17"/>
        <n v="25"/>
        <n v="29"/>
        <n v="55"/>
        <n v="49"/>
        <n v="45"/>
        <n v="51"/>
        <n v="2025"/>
        <n v="19"/>
        <n v="20"/>
        <n v="14"/>
        <n v="23"/>
        <n v="9"/>
        <n v="15"/>
        <n v="8"/>
        <n v="12"/>
        <n v="13"/>
        <n v="16"/>
        <n v="36"/>
        <n v="62"/>
        <n v="44"/>
        <n v="11"/>
        <n v="7"/>
        <n v="10"/>
        <n v="53"/>
        <n v="75"/>
        <n v="97"/>
        <n v="64"/>
        <n v="118"/>
        <n v="152"/>
        <n v="196"/>
        <n v="162"/>
        <n v="124"/>
        <n v="107"/>
        <n v="103"/>
        <n v="82"/>
        <n v="80"/>
        <n v="83"/>
        <n v="60"/>
        <n v="73"/>
        <n v="70"/>
        <n v="66"/>
        <n v="156"/>
        <n v="170"/>
        <n v="122"/>
        <n v="304"/>
        <n v="294"/>
        <n v="255"/>
        <n v="412"/>
        <n v="285"/>
        <n v="310"/>
        <n v="287"/>
        <n v="337"/>
        <n v="253"/>
        <n v="353"/>
        <n v="326"/>
        <n v="315"/>
        <n v="243"/>
        <n v="283"/>
        <n v="245"/>
        <n v="230"/>
        <n v="330"/>
        <n v="306"/>
        <n v="280"/>
        <n v="367"/>
        <n v="272"/>
        <n v="297"/>
        <n v="214"/>
        <n v="212"/>
        <n v="209"/>
        <n v="203"/>
        <n v="210"/>
        <n v="219"/>
        <n v="235"/>
        <n v="139"/>
        <n v="232"/>
        <n v="256"/>
        <n v="171"/>
        <n v="246"/>
        <n v="276"/>
        <n v="277"/>
        <n v="313"/>
        <n v="220"/>
        <n v="208"/>
        <n v="227"/>
        <n v="158"/>
        <n v="216"/>
        <n v="239"/>
        <n v="190"/>
        <n v="215"/>
        <n v="314"/>
        <n v="213"/>
        <n v="199"/>
        <n v="225"/>
        <n v="259"/>
        <n v="234"/>
        <n v="200"/>
        <n v="248"/>
        <n v="251"/>
        <n v="275"/>
        <n v="231"/>
        <n v="263"/>
        <n v="270"/>
        <n v="295"/>
        <n v="307"/>
        <n v="274"/>
        <n v="254"/>
        <n v="244"/>
        <n v="241"/>
        <n v="226"/>
        <n v="211"/>
        <n v="273"/>
        <n v="167"/>
        <n v="298"/>
        <n v="261"/>
        <n v="290"/>
        <n v="198"/>
        <n v="257"/>
        <n v="189"/>
        <n v="228"/>
        <n v="185"/>
        <n v="188"/>
        <n v="176"/>
        <n v="157"/>
        <n v="181"/>
        <n v="173"/>
        <n v="160"/>
        <n v="233"/>
        <n v="175"/>
        <n v="247"/>
        <n v="321"/>
        <n v="293"/>
        <n v="266"/>
        <n v="352"/>
        <n v="334"/>
        <n v="289"/>
        <n v="345"/>
        <n v="356"/>
        <n v="406"/>
        <n v="462"/>
        <n v="348"/>
        <n v="344"/>
        <n v="349"/>
        <n v="268"/>
        <n v="340"/>
        <n v="419"/>
        <n v="331"/>
        <n v="301"/>
        <n v="374"/>
        <n v="411"/>
        <n v="437"/>
        <n v="443"/>
        <n v="292"/>
        <n v="357"/>
        <n v="427"/>
        <n v="424"/>
        <n v="380"/>
        <n v="322"/>
        <n v="371"/>
        <n v="392"/>
        <n v="303"/>
        <n v="221"/>
        <n v="288"/>
        <n v="242"/>
        <n v="264"/>
        <n v="202"/>
        <n v="260"/>
        <n v="358"/>
        <n v="336"/>
        <n v="368"/>
        <n v="457"/>
        <n v="472"/>
        <n v="509"/>
        <n v="468"/>
        <n v="444"/>
        <n v="447"/>
        <n v="369"/>
        <n v="438"/>
        <n v="482"/>
        <n v="400"/>
        <n v="430"/>
        <n v="395"/>
        <n v="420"/>
        <n v="508"/>
        <n v="515"/>
        <n v="499"/>
        <n v="453"/>
        <n v="455"/>
        <n v="466"/>
        <n v="531"/>
        <n v="459"/>
        <n v="477"/>
      </sharedItems>
    </cacheField>
    <cacheField name="Children transferred out of CBP custody" numFmtId="0">
      <sharedItems containsSemiMixedTypes="0" containsString="0" containsNumber="1" containsInteger="1" minValue="0" maxValue="440"/>
    </cacheField>
    <cacheField name="Children in HHS Care" numFmtId="0">
      <sharedItems containsSemiMixedTypes="0" containsString="0" containsNumber="1" containsInteger="1" minValue="1972" maxValue="11516" count="642">
        <n v="2484"/>
        <n v="2472"/>
        <n v="2481"/>
        <n v="2468"/>
        <n v="2470"/>
        <n v="2462"/>
        <n v="2437"/>
        <n v="2439"/>
        <n v="2443"/>
        <n v="2440"/>
        <n v="2429"/>
        <n v="2418"/>
        <n v="2419"/>
        <n v="2407"/>
        <n v="2410"/>
        <n v="2415"/>
        <n v="2389"/>
        <n v="2375"/>
        <n v="2371"/>
        <n v="2340"/>
        <n v="2345"/>
        <n v="2343"/>
        <n v="2317"/>
        <n v="2302"/>
        <n v="2294"/>
        <n v="2264"/>
        <n v="2272"/>
        <n v="2270"/>
        <n v="2269"/>
        <n v="2277"/>
        <n v="2287"/>
        <n v="2280"/>
        <n v="2286"/>
        <n v="2282"/>
        <n v="2276"/>
        <n v="2266"/>
        <n v="2261"/>
        <n v="2251"/>
        <n v="2243"/>
        <n v="2237"/>
        <n v="2233"/>
        <n v="2225"/>
        <n v="2235"/>
        <n v="2223"/>
        <n v="2192"/>
        <n v="2189"/>
        <n v="2187"/>
        <n v="2180"/>
        <n v="2164"/>
        <n v="2163"/>
        <n v="2159"/>
        <n v="2148"/>
        <n v="2146"/>
        <n v="2132"/>
        <n v="2138"/>
        <n v="2145"/>
        <n v="2141"/>
        <n v="2134"/>
        <n v="2096"/>
        <n v="2095"/>
        <n v="2086"/>
        <n v="2083"/>
        <n v="2047"/>
        <n v="2025"/>
        <n v="2023"/>
        <n v="2026"/>
        <n v="2015"/>
        <n v="2019"/>
        <n v="2020"/>
        <n v="2010"/>
        <n v="1984"/>
        <n v="1988"/>
        <n v="1989"/>
        <n v="1980"/>
        <n v="1981"/>
        <n v="1972"/>
        <n v="1983"/>
        <n v="1985"/>
        <n v="1991"/>
        <n v="1994"/>
        <n v="1997"/>
        <n v="1999"/>
        <n v="2006"/>
        <n v="2031"/>
        <n v="2036"/>
        <n v="2042"/>
        <n v="2040"/>
        <n v="2049"/>
        <n v="2058"/>
        <n v="2063"/>
        <n v="2072"/>
        <n v="2080"/>
        <n v="2088"/>
        <n v="2111"/>
        <n v="2117"/>
        <n v="2121"/>
        <n v="2153"/>
        <n v="2171"/>
        <n v="2181"/>
        <n v="2204"/>
        <n v="2252"/>
        <n v="2281"/>
        <n v="2306"/>
        <n v="2332"/>
        <n v="2373"/>
        <n v="2391"/>
        <n v="2413"/>
        <n v="2447"/>
        <n v="2489"/>
        <n v="2495"/>
        <n v="2508"/>
        <n v="2501"/>
        <n v="2523"/>
        <n v="2511"/>
        <n v="2516"/>
        <n v="2507"/>
        <n v="2503"/>
        <n v="2519"/>
        <n v="2518"/>
        <n v="2528"/>
        <n v="2506"/>
        <n v="2499"/>
        <n v="2504"/>
        <n v="2473"/>
        <n v="2467"/>
        <n v="2457"/>
        <n v="2394"/>
        <n v="2392"/>
        <n v="2385"/>
        <n v="2361"/>
        <n v="2335"/>
        <n v="2339"/>
        <n v="2331"/>
        <n v="2309"/>
        <n v="2304"/>
        <n v="2307"/>
        <n v="2301"/>
        <n v="2300"/>
        <n v="2305"/>
        <n v="2308"/>
        <n v="2288"/>
        <n v="2291"/>
        <n v="2283"/>
        <n v="2267"/>
        <n v="2265"/>
        <n v="2234"/>
        <n v="2208"/>
        <n v="2191"/>
        <n v="2193"/>
        <n v="2188"/>
        <n v="2139"/>
        <n v="2136"/>
        <n v="2124"/>
        <n v="2119"/>
        <n v="2109"/>
        <n v="2116"/>
        <n v="2113"/>
        <n v="2125"/>
        <n v="2137"/>
        <n v="2218"/>
        <n v="2238"/>
        <n v="2297"/>
        <n v="2411"/>
        <n v="2423"/>
        <n v="2520"/>
        <n v="2536"/>
        <n v="2532"/>
        <n v="2703"/>
        <n v="2752"/>
        <n v="2799"/>
        <n v="2834"/>
        <n v="2878"/>
        <n v="3181"/>
        <n v="3290"/>
        <n v="3359"/>
        <n v="3403"/>
        <n v="3483"/>
        <n v="3923"/>
        <n v="4036"/>
        <n v="4096"/>
        <n v="4161"/>
        <n v="4241"/>
        <n v="4621"/>
        <n v="4717"/>
        <n v="4728"/>
        <n v="4638"/>
        <n v="4628"/>
        <n v="4881"/>
        <n v="4903"/>
        <n v="4957"/>
        <n v="5019"/>
        <n v="5092"/>
        <n v="5507"/>
        <n v="5605"/>
        <n v="5703"/>
        <n v="5769"/>
        <n v="5882"/>
        <n v="6292"/>
        <n v="6405"/>
        <n v="6454"/>
        <n v="6465"/>
        <n v="6707"/>
        <n v="6689"/>
        <n v="6622"/>
        <n v="6548"/>
        <n v="6595"/>
        <n v="6600"/>
        <n v="6598"/>
        <n v="6506"/>
        <n v="6408"/>
        <n v="6481"/>
        <n v="6402"/>
        <n v="6310"/>
        <n v="6268"/>
        <n v="6286"/>
        <n v="6269"/>
        <n v="6192"/>
        <n v="6061"/>
        <n v="5986"/>
        <n v="5963"/>
        <n v="5862"/>
        <n v="5826"/>
        <n v="5715"/>
        <n v="5664"/>
        <n v="5850"/>
        <n v="5879"/>
        <n v="5844"/>
        <n v="5819"/>
        <n v="5816"/>
        <n v="6025"/>
        <n v="5966"/>
        <n v="5975"/>
        <n v="6084"/>
        <n v="6086"/>
        <n v="6045"/>
        <n v="6007"/>
        <n v="5990"/>
        <n v="6148"/>
        <n v="6149"/>
        <n v="6106"/>
        <n v="6008"/>
        <n v="5974"/>
        <n v="6077"/>
        <n v="6043"/>
        <n v="5918"/>
        <n v="6076"/>
        <n v="6036"/>
        <n v="6013"/>
        <n v="5935"/>
        <n v="5889"/>
        <n v="6075"/>
        <n v="6047"/>
        <n v="5968"/>
        <n v="6118"/>
        <n v="6091"/>
        <n v="6040"/>
        <n v="5967"/>
        <n v="5925"/>
        <n v="6090"/>
        <n v="6050"/>
        <n v="6023"/>
        <n v="6002"/>
        <n v="5989"/>
        <n v="6270"/>
        <n v="6245"/>
        <n v="6227"/>
        <n v="6229"/>
        <n v="6234"/>
        <n v="6326"/>
        <n v="6360"/>
        <n v="6410"/>
        <n v="6396"/>
        <n v="6353"/>
        <n v="6312"/>
        <n v="6448"/>
        <n v="6375"/>
        <n v="6272"/>
        <n v="6250"/>
        <n v="6152"/>
        <n v="6054"/>
        <n v="6028"/>
        <n v="5995"/>
        <n v="5865"/>
        <n v="5821"/>
        <n v="5895"/>
        <n v="5987"/>
        <n v="5981"/>
        <n v="5903"/>
        <n v="5894"/>
        <n v="6038"/>
        <n v="5998"/>
        <n v="5950"/>
        <n v="5943"/>
        <n v="6016"/>
        <n v="5930"/>
        <n v="5743"/>
        <n v="5954"/>
        <n v="5927"/>
        <n v="5965"/>
        <n v="6058"/>
        <n v="6228"/>
        <n v="6239"/>
        <n v="6283"/>
        <n v="6308"/>
        <n v="6640"/>
        <n v="6649"/>
        <n v="6651"/>
        <n v="6617"/>
        <n v="6599"/>
        <n v="6790"/>
        <n v="6823"/>
        <n v="6825"/>
        <n v="6874"/>
        <n v="7248"/>
        <n v="7268"/>
        <n v="7239"/>
        <n v="7247"/>
        <n v="7431"/>
        <n v="7433"/>
        <n v="7340"/>
        <n v="7318"/>
        <n v="7307"/>
        <n v="7544"/>
        <n v="7548"/>
        <n v="7493"/>
        <n v="7439"/>
        <n v="7451"/>
        <n v="7741"/>
        <n v="7691"/>
        <n v="7565"/>
        <n v="7596"/>
        <n v="7546"/>
        <n v="7563"/>
        <n v="7491"/>
        <n v="7418"/>
        <n v="7365"/>
        <n v="7494"/>
        <n v="7474"/>
        <n v="7404"/>
        <n v="7368"/>
        <n v="7356"/>
        <n v="7589"/>
        <n v="7499"/>
        <n v="7464"/>
        <n v="7570"/>
        <n v="7583"/>
        <n v="7566"/>
        <n v="7449"/>
        <n v="7447"/>
        <n v="7577"/>
        <n v="7508"/>
        <n v="7373"/>
        <n v="7298"/>
        <n v="7209"/>
        <n v="7128"/>
        <n v="6967"/>
        <n v="6799"/>
        <n v="6745"/>
        <n v="6728"/>
        <n v="6725"/>
        <n v="6685"/>
        <n v="6681"/>
        <n v="6630"/>
        <n v="6912"/>
        <n v="6999"/>
        <n v="7043"/>
        <n v="6988"/>
        <n v="6982"/>
        <n v="7317"/>
        <n v="7346"/>
        <n v="7271"/>
        <n v="7257"/>
        <n v="7762"/>
        <n v="7893"/>
        <n v="7919"/>
        <n v="7899"/>
        <n v="8292"/>
        <n v="8365"/>
        <n v="8390"/>
        <n v="8333"/>
        <n v="8373"/>
        <n v="8695"/>
        <n v="8819"/>
        <n v="8843"/>
        <n v="8757"/>
        <n v="8714"/>
        <n v="8902"/>
        <n v="8870"/>
        <n v="8800"/>
        <n v="8660"/>
        <n v="8594"/>
        <n v="8724"/>
        <n v="8699"/>
        <n v="8650"/>
        <n v="8404"/>
        <n v="8607"/>
        <n v="8573"/>
        <n v="8488"/>
        <n v="8380"/>
        <n v="8463"/>
        <n v="8512"/>
        <n v="8348"/>
        <n v="8092"/>
        <n v="8056"/>
        <n v="8188"/>
        <n v="8160"/>
        <n v="8045"/>
        <n v="7872"/>
        <n v="7813"/>
        <n v="8026"/>
        <n v="8153"/>
        <n v="8182"/>
        <n v="8057"/>
        <n v="8004"/>
        <n v="8180"/>
        <n v="8212"/>
        <n v="8133"/>
        <n v="8008"/>
        <n v="7974"/>
        <n v="8042"/>
        <n v="8072"/>
        <n v="8033"/>
        <n v="8829"/>
        <n v="9144"/>
        <n v="9311"/>
        <n v="9670"/>
        <n v="10558"/>
        <n v="10718"/>
        <n v="10770"/>
        <n v="10870"/>
        <n v="11230"/>
        <n v="11206"/>
        <n v="11217"/>
        <n v="11144"/>
        <n v="11375"/>
        <n v="11516"/>
        <n v="11291"/>
        <n v="11149"/>
        <n v="11092"/>
        <n v="11242"/>
        <n v="11192"/>
        <n v="11077"/>
        <n v="10998"/>
        <n v="10871"/>
        <n v="10897"/>
        <n v="10832"/>
        <n v="10761"/>
        <n v="10635"/>
        <n v="10579"/>
        <n v="10536"/>
        <n v="10398"/>
        <n v="10223"/>
        <n v="10123"/>
        <n v="9845"/>
        <n v="9838"/>
        <n v="9804"/>
        <n v="9638"/>
        <n v="9573"/>
        <n v="9762"/>
        <n v="9665"/>
        <n v="9510"/>
        <n v="9477"/>
        <n v="9634"/>
        <n v="9483"/>
        <n v="9286"/>
        <n v="9273"/>
        <n v="9442"/>
        <n v="9250"/>
        <n v="9072"/>
        <n v="9026"/>
        <n v="8925"/>
        <n v="9235"/>
        <n v="9351"/>
        <n v="9396"/>
        <n v="9436"/>
        <n v="9506"/>
        <n v="10319"/>
        <n v="10511"/>
        <n v="10630"/>
        <n v="10629"/>
        <n v="10571"/>
        <n v="10992"/>
        <n v="10960"/>
        <n v="10910"/>
        <n v="10815"/>
        <n v="11130"/>
        <n v="10963"/>
        <n v="10818"/>
        <n v="10724"/>
        <n v="10598"/>
        <n v="10984"/>
        <n v="11017"/>
        <n v="10978"/>
        <n v="10842"/>
        <n v="10744"/>
        <n v="11067"/>
        <n v="11064"/>
        <n v="11095"/>
        <n v="10892"/>
        <n v="10799"/>
        <n v="10837"/>
        <n v="10678"/>
        <n v="10649"/>
        <n v="10492"/>
        <n v="10282"/>
        <n v="10419"/>
        <n v="10356"/>
        <n v="10142"/>
        <n v="9988"/>
        <n v="10140"/>
        <n v="10280"/>
        <n v="10180"/>
        <n v="10012"/>
        <n v="9873"/>
        <n v="10026"/>
        <n v="10071"/>
        <n v="9921"/>
        <n v="9668"/>
        <n v="9694"/>
        <n v="8914"/>
        <n v="8888"/>
        <n v="8725"/>
        <n v="8493"/>
        <n v="8298"/>
        <n v="8294"/>
        <n v="8261"/>
        <n v="8103"/>
        <n v="7800"/>
        <n v="7671"/>
        <n v="7754"/>
        <n v="7647"/>
        <n v="7510"/>
        <n v="7220"/>
        <n v="7052"/>
        <n v="7116"/>
        <n v="7001"/>
        <n v="6632"/>
        <n v="6468"/>
        <n v="6604"/>
        <n v="6521"/>
        <n v="6498"/>
        <n v="6346"/>
        <n v="6214"/>
        <n v="6193"/>
        <n v="6127"/>
        <n v="5999"/>
        <n v="5917"/>
        <n v="5766"/>
        <n v="5956"/>
        <n v="5922"/>
        <n v="5904"/>
        <n v="5679"/>
        <n v="6065"/>
        <n v="6021"/>
        <n v="6446"/>
        <n v="6483"/>
        <n v="6508"/>
        <n v="6523"/>
        <n v="6555"/>
        <n v="7002"/>
        <n v="7053"/>
        <n v="7046"/>
        <n v="6996"/>
        <n v="7709"/>
        <n v="7788"/>
        <n v="7848"/>
        <n v="7826"/>
        <n v="8474"/>
        <n v="8569"/>
        <n v="8572"/>
        <n v="8571"/>
        <n v="8445"/>
        <n v="8672"/>
        <n v="8681"/>
        <n v="8606"/>
        <n v="8590"/>
        <n v="8485"/>
        <n v="8790"/>
        <n v="8704"/>
        <n v="8654"/>
        <n v="8492"/>
        <n v="8352"/>
        <n v="8159"/>
        <n v="8117"/>
        <n v="8017"/>
        <n v="7796"/>
        <n v="7534"/>
        <n v="7490"/>
        <n v="7376"/>
        <n v="7344"/>
        <n v="7380"/>
        <n v="7795"/>
        <n v="7876"/>
        <n v="7922"/>
        <n v="7900"/>
        <n v="8178"/>
        <n v="8175"/>
        <n v="8068"/>
        <n v="8054"/>
        <n v="7981"/>
        <n v="8158"/>
        <n v="8208"/>
        <n v="8079"/>
        <n v="7994"/>
        <n v="7847"/>
        <n v="8102"/>
        <n v="8097"/>
        <n v="8050"/>
        <n v="7931"/>
        <n v="7885"/>
        <n v="7989"/>
        <n v="7915"/>
        <n v="7810"/>
        <n v="7567"/>
        <n v="7786"/>
        <n v="7859"/>
        <n v="7870"/>
        <n v="7930"/>
        <n v="7896"/>
        <n v="7609"/>
        <n v="7914"/>
        <n v="7978"/>
        <n v="7967"/>
        <n v="7817"/>
        <n v="7793"/>
        <n v="7869"/>
        <n v="7794"/>
        <n v="7483"/>
        <n v="7434"/>
        <n v="7908"/>
        <n v="7855"/>
        <n v="7720"/>
        <n v="7586"/>
        <n v="7879"/>
        <n v="7903"/>
        <n v="7803"/>
        <n v="7743"/>
        <n v="7472"/>
        <n v="7538"/>
        <n v="7280"/>
        <n v="7122"/>
        <n v="6566"/>
      </sharedItems>
    </cacheField>
    <cacheField name="Children discharged from HHS Care" numFmtId="0">
      <sharedItems containsSemiMixedTypes="0" containsString="0" containsNumber="1" containsInteger="1" minValue="0" maxValue="505"/>
    </cacheField>
    <cacheField name="Months (Date)" numFmtId="0" databaseField="0">
      <fieldGroup base="0">
        <rangePr groupBy="months" startDate="2023-01-12T00:00:00" endDate="2025-12-22T00:00:00"/>
        <groupItems count="14">
          <s v="&lt;12-01-2023"/>
          <s v="Jan"/>
          <s v="Feb"/>
          <s v="Mar"/>
          <s v="Apr"/>
          <s v="May"/>
          <s v="Jun"/>
          <s v="Jul"/>
          <s v="Aug"/>
          <s v="Sep"/>
          <s v="Oct"/>
          <s v="Nov"/>
          <s v="Dec"/>
          <s v="&gt;22-12-2025"/>
        </groupItems>
      </fieldGroup>
    </cacheField>
    <cacheField name="Years (Date)" numFmtId="0" databaseField="0">
      <fieldGroup base="0">
        <rangePr groupBy="years" startDate="2023-01-12T00:00:00" endDate="2025-12-22T00:00:00"/>
        <groupItems count="5">
          <s v="&lt;12-01-2023"/>
          <s v="2023"/>
          <s v="2024"/>
          <s v="2025"/>
          <s v="&gt;22-12-2025"/>
        </groupItems>
      </fieldGroup>
    </cacheField>
  </cacheFields>
  <extLst>
    <ext xmlns:x14="http://schemas.microsoft.com/office/spreadsheetml/2009/9/main" uri="{725AE2AE-9491-48be-B2B4-4EB974FC3084}">
      <x14:pivotCacheDefinition pivotCacheId="151554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n v="6"/>
    <x v="0"/>
    <n v="11"/>
    <x v="0"/>
    <n v="14"/>
  </r>
  <r>
    <x v="1"/>
    <n v="11"/>
    <x v="1"/>
    <n v="6"/>
    <x v="1"/>
    <n v="16"/>
  </r>
  <r>
    <x v="2"/>
    <n v="7"/>
    <x v="2"/>
    <n v="11"/>
    <x v="2"/>
    <n v="10"/>
  </r>
  <r>
    <x v="3"/>
    <n v="8"/>
    <x v="3"/>
    <n v="15"/>
    <x v="3"/>
    <n v="9"/>
  </r>
  <r>
    <x v="4"/>
    <n v="11"/>
    <x v="4"/>
    <n v="9"/>
    <x v="4"/>
    <n v="7"/>
  </r>
  <r>
    <x v="5"/>
    <n v="8"/>
    <x v="5"/>
    <n v="4"/>
    <x v="5"/>
    <n v="8"/>
  </r>
  <r>
    <x v="6"/>
    <n v="7"/>
    <x v="6"/>
    <n v="9"/>
    <x v="6"/>
    <n v="10"/>
  </r>
  <r>
    <x v="7"/>
    <n v="10"/>
    <x v="3"/>
    <n v="5"/>
    <x v="7"/>
    <n v="9"/>
  </r>
  <r>
    <x v="8"/>
    <n v="4"/>
    <x v="7"/>
    <n v="7"/>
    <x v="8"/>
    <n v="8"/>
  </r>
  <r>
    <x v="9"/>
    <n v="9"/>
    <x v="8"/>
    <n v="9"/>
    <x v="9"/>
    <n v="4"/>
  </r>
  <r>
    <x v="10"/>
    <n v="4"/>
    <x v="9"/>
    <n v="13"/>
    <x v="10"/>
    <n v="12"/>
  </r>
  <r>
    <x v="11"/>
    <n v="16"/>
    <x v="10"/>
    <n v="7"/>
    <x v="11"/>
    <n v="13"/>
  </r>
  <r>
    <x v="12"/>
    <n v="4"/>
    <x v="11"/>
    <n v="8"/>
    <x v="12"/>
    <n v="7"/>
  </r>
  <r>
    <x v="13"/>
    <n v="7"/>
    <x v="12"/>
    <n v="6"/>
    <x v="13"/>
    <n v="8"/>
  </r>
  <r>
    <x v="14"/>
    <n v="4"/>
    <x v="13"/>
    <n v="4"/>
    <x v="14"/>
    <n v="9"/>
  </r>
  <r>
    <x v="15"/>
    <n v="4"/>
    <x v="0"/>
    <n v="10"/>
    <x v="15"/>
    <n v="0"/>
  </r>
  <r>
    <x v="16"/>
    <n v="4"/>
    <x v="9"/>
    <n v="8"/>
    <x v="16"/>
    <n v="7"/>
  </r>
  <r>
    <x v="17"/>
    <n v="6"/>
    <x v="6"/>
    <n v="14"/>
    <x v="17"/>
    <n v="11"/>
  </r>
  <r>
    <x v="18"/>
    <n v="9"/>
    <x v="14"/>
    <n v="9"/>
    <x v="18"/>
    <n v="13"/>
  </r>
  <r>
    <x v="19"/>
    <n v="3"/>
    <x v="15"/>
    <n v="22"/>
    <x v="17"/>
    <n v="1"/>
  </r>
  <r>
    <x v="20"/>
    <n v="18"/>
    <x v="16"/>
    <n v="8"/>
    <x v="19"/>
    <n v="9"/>
  </r>
  <r>
    <x v="21"/>
    <n v="7"/>
    <x v="11"/>
    <n v="3"/>
    <x v="19"/>
    <n v="10"/>
  </r>
  <r>
    <x v="22"/>
    <n v="2"/>
    <x v="17"/>
    <n v="8"/>
    <x v="20"/>
    <n v="12"/>
  </r>
  <r>
    <x v="23"/>
    <n v="1"/>
    <x v="5"/>
    <n v="6"/>
    <x v="21"/>
    <n v="8"/>
  </r>
  <r>
    <x v="24"/>
    <n v="5"/>
    <x v="18"/>
    <n v="3"/>
    <x v="19"/>
    <n v="5"/>
  </r>
  <r>
    <x v="25"/>
    <n v="6"/>
    <x v="13"/>
    <n v="16"/>
    <x v="22"/>
    <n v="5"/>
  </r>
  <r>
    <x v="26"/>
    <n v="14"/>
    <x v="19"/>
    <n v="20"/>
    <x v="23"/>
    <n v="7"/>
  </r>
  <r>
    <x v="27"/>
    <n v="11"/>
    <x v="10"/>
    <n v="12"/>
    <x v="24"/>
    <n v="14"/>
  </r>
  <r>
    <x v="28"/>
    <n v="11"/>
    <x v="20"/>
    <n v="5"/>
    <x v="24"/>
    <n v="4"/>
  </r>
  <r>
    <x v="29"/>
    <n v="6"/>
    <x v="20"/>
    <n v="9"/>
    <x v="25"/>
    <n v="19"/>
  </r>
  <r>
    <x v="30"/>
    <n v="8"/>
    <x v="21"/>
    <n v="8"/>
    <x v="26"/>
    <n v="7"/>
  </r>
  <r>
    <x v="31"/>
    <n v="6"/>
    <x v="20"/>
    <n v="6"/>
    <x v="27"/>
    <n v="8"/>
  </r>
  <r>
    <x v="32"/>
    <n v="3"/>
    <x v="22"/>
    <n v="5"/>
    <x v="28"/>
    <n v="12"/>
  </r>
  <r>
    <x v="33"/>
    <n v="5"/>
    <x v="23"/>
    <n v="10"/>
    <x v="29"/>
    <n v="7"/>
  </r>
  <r>
    <x v="34"/>
    <n v="3"/>
    <x v="24"/>
    <n v="14"/>
    <x v="30"/>
    <n v="12"/>
  </r>
  <r>
    <x v="35"/>
    <n v="6"/>
    <x v="25"/>
    <n v="4"/>
    <x v="31"/>
    <n v="17"/>
  </r>
  <r>
    <x v="36"/>
    <n v="6"/>
    <x v="18"/>
    <n v="11"/>
    <x v="32"/>
    <n v="6"/>
  </r>
  <r>
    <x v="37"/>
    <n v="2"/>
    <x v="2"/>
    <n v="8"/>
    <x v="33"/>
    <n v="11"/>
  </r>
  <r>
    <x v="38"/>
    <n v="4"/>
    <x v="5"/>
    <n v="12"/>
    <x v="34"/>
    <n v="10"/>
  </r>
  <r>
    <x v="39"/>
    <n v="4"/>
    <x v="8"/>
    <n v="26"/>
    <x v="35"/>
    <n v="18"/>
  </r>
  <r>
    <x v="40"/>
    <n v="12"/>
    <x v="4"/>
    <n v="13"/>
    <x v="36"/>
    <n v="12"/>
  </r>
  <r>
    <x v="41"/>
    <n v="13"/>
    <x v="10"/>
    <n v="17"/>
    <x v="37"/>
    <n v="9"/>
  </r>
  <r>
    <x v="42"/>
    <n v="10"/>
    <x v="10"/>
    <n v="6"/>
    <x v="38"/>
    <n v="7"/>
  </r>
  <r>
    <x v="43"/>
    <n v="9"/>
    <x v="12"/>
    <n v="17"/>
    <x v="39"/>
    <n v="7"/>
  </r>
  <r>
    <x v="44"/>
    <n v="9"/>
    <x v="20"/>
    <n v="15"/>
    <x v="40"/>
    <n v="9"/>
  </r>
  <r>
    <x v="45"/>
    <n v="8"/>
    <x v="26"/>
    <n v="10"/>
    <x v="41"/>
    <n v="15"/>
  </r>
  <r>
    <x v="46"/>
    <n v="7"/>
    <x v="7"/>
    <n v="16"/>
    <x v="42"/>
    <n v="8"/>
  </r>
  <r>
    <x v="47"/>
    <n v="8"/>
    <x v="9"/>
    <n v="7"/>
    <x v="43"/>
    <n v="6"/>
  </r>
  <r>
    <x v="48"/>
    <n v="11"/>
    <x v="27"/>
    <n v="13"/>
    <x v="44"/>
    <n v="12"/>
  </r>
  <r>
    <x v="49"/>
    <n v="8"/>
    <x v="28"/>
    <n v="15"/>
    <x v="44"/>
    <n v="17"/>
  </r>
  <r>
    <x v="50"/>
    <n v="11"/>
    <x v="29"/>
    <n v="4"/>
    <x v="45"/>
    <n v="10"/>
  </r>
  <r>
    <x v="51"/>
    <n v="5"/>
    <x v="20"/>
    <n v="15"/>
    <x v="46"/>
    <n v="10"/>
  </r>
  <r>
    <x v="52"/>
    <n v="8"/>
    <x v="22"/>
    <n v="13"/>
    <x v="47"/>
    <n v="16"/>
  </r>
  <r>
    <x v="53"/>
    <n v="20"/>
    <x v="30"/>
    <n v="15"/>
    <x v="48"/>
    <n v="16"/>
  </r>
  <r>
    <x v="54"/>
    <n v="4"/>
    <x v="20"/>
    <n v="12"/>
    <x v="49"/>
    <n v="14"/>
  </r>
  <r>
    <x v="55"/>
    <s v="30,"/>
    <x v="31"/>
    <n v="12"/>
    <x v="50"/>
    <n v="7"/>
  </r>
  <r>
    <x v="56"/>
    <s v="29,"/>
    <x v="31"/>
    <n v="12"/>
    <x v="51"/>
    <n v="13"/>
  </r>
  <r>
    <x v="57"/>
    <s v="28,"/>
    <x v="31"/>
    <n v="12"/>
    <x v="52"/>
    <n v="9"/>
  </r>
  <r>
    <x v="58"/>
    <s v="25,"/>
    <x v="31"/>
    <n v="12"/>
    <x v="53"/>
    <n v="18"/>
  </r>
  <r>
    <x v="59"/>
    <s v="24,"/>
    <x v="31"/>
    <n v="12"/>
    <x v="54"/>
    <n v="17"/>
  </r>
  <r>
    <x v="60"/>
    <s v="23,"/>
    <x v="31"/>
    <n v="10"/>
    <x v="55"/>
    <n v="15"/>
  </r>
  <r>
    <x v="61"/>
    <s v="22,"/>
    <x v="31"/>
    <n v="14"/>
    <x v="56"/>
    <n v="10"/>
  </r>
  <r>
    <x v="62"/>
    <s v="21,"/>
    <x v="31"/>
    <n v="13"/>
    <x v="57"/>
    <n v="5"/>
  </r>
  <r>
    <x v="63"/>
    <s v="18,"/>
    <x v="31"/>
    <n v="11"/>
    <x v="58"/>
    <n v="14"/>
  </r>
  <r>
    <x v="64"/>
    <s v="17,"/>
    <x v="31"/>
    <n v="5"/>
    <x v="58"/>
    <n v="13"/>
  </r>
  <r>
    <x v="65"/>
    <s v="16,"/>
    <x v="31"/>
    <n v="17"/>
    <x v="59"/>
    <n v="12"/>
  </r>
  <r>
    <x v="66"/>
    <s v="15,"/>
    <x v="31"/>
    <n v="10"/>
    <x v="60"/>
    <n v="10"/>
  </r>
  <r>
    <x v="67"/>
    <s v="14,"/>
    <x v="31"/>
    <n v="13"/>
    <x v="61"/>
    <n v="5"/>
  </r>
  <r>
    <x v="68"/>
    <s v="11,"/>
    <x v="31"/>
    <n v="29"/>
    <x v="62"/>
    <n v="6"/>
  </r>
  <r>
    <x v="69"/>
    <s v="10,"/>
    <x v="31"/>
    <n v="14"/>
    <x v="63"/>
    <n v="18"/>
  </r>
  <r>
    <x v="70"/>
    <s v="09,"/>
    <x v="31"/>
    <n v="11"/>
    <x v="64"/>
    <n v="14"/>
  </r>
  <r>
    <x v="71"/>
    <s v="08,"/>
    <x v="31"/>
    <n v="5"/>
    <x v="63"/>
    <n v="6"/>
  </r>
  <r>
    <x v="72"/>
    <s v="07,"/>
    <x v="31"/>
    <n v="9"/>
    <x v="65"/>
    <n v="7"/>
  </r>
  <r>
    <x v="73"/>
    <s v="04,"/>
    <x v="31"/>
    <n v="2"/>
    <x v="66"/>
    <n v="14"/>
  </r>
  <r>
    <x v="74"/>
    <s v="03,"/>
    <x v="31"/>
    <n v="11"/>
    <x v="67"/>
    <n v="10"/>
  </r>
  <r>
    <x v="75"/>
    <n v="6"/>
    <x v="5"/>
    <n v="9"/>
    <x v="68"/>
    <n v="9"/>
  </r>
  <r>
    <x v="76"/>
    <n v="10"/>
    <x v="26"/>
    <n v="17"/>
    <x v="69"/>
    <n v="5"/>
  </r>
  <r>
    <x v="77"/>
    <n v="8"/>
    <x v="20"/>
    <n v="6"/>
    <x v="70"/>
    <n v="17"/>
  </r>
  <r>
    <x v="78"/>
    <n v="5"/>
    <x v="32"/>
    <n v="9"/>
    <x v="71"/>
    <n v="19"/>
  </r>
  <r>
    <x v="79"/>
    <n v="10"/>
    <x v="23"/>
    <n v="20"/>
    <x v="72"/>
    <n v="15"/>
  </r>
  <r>
    <x v="80"/>
    <n v="8"/>
    <x v="7"/>
    <n v="8"/>
    <x v="73"/>
    <n v="11"/>
  </r>
  <r>
    <x v="81"/>
    <n v="4"/>
    <x v="23"/>
    <n v="5"/>
    <x v="74"/>
    <n v="5"/>
  </r>
  <r>
    <x v="82"/>
    <n v="6"/>
    <x v="28"/>
    <n v="8"/>
    <x v="75"/>
    <n v="21"/>
  </r>
  <r>
    <x v="83"/>
    <n v="10"/>
    <x v="17"/>
    <n v="10"/>
    <x v="76"/>
    <n v="10"/>
  </r>
  <r>
    <x v="84"/>
    <n v="5"/>
    <x v="5"/>
    <n v="3"/>
    <x v="73"/>
    <n v="11"/>
  </r>
  <r>
    <x v="85"/>
    <n v="4"/>
    <x v="33"/>
    <n v="6"/>
    <x v="77"/>
    <n v="14"/>
  </r>
  <r>
    <x v="86"/>
    <n v="4"/>
    <x v="34"/>
    <n v="2"/>
    <x v="78"/>
    <n v="3"/>
  </r>
  <r>
    <x v="87"/>
    <n v="3"/>
    <x v="8"/>
    <n v="4"/>
    <x v="79"/>
    <n v="11"/>
  </r>
  <r>
    <x v="88"/>
    <n v="6"/>
    <x v="18"/>
    <n v="12"/>
    <x v="80"/>
    <n v="17"/>
  </r>
  <r>
    <x v="89"/>
    <n v="8"/>
    <x v="17"/>
    <n v="9"/>
    <x v="81"/>
    <n v="9"/>
  </r>
  <r>
    <x v="90"/>
    <n v="6"/>
    <x v="35"/>
    <n v="4"/>
    <x v="81"/>
    <n v="16"/>
  </r>
  <r>
    <x v="91"/>
    <n v="0"/>
    <x v="0"/>
    <n v="8"/>
    <x v="82"/>
    <n v="12"/>
  </r>
  <r>
    <x v="92"/>
    <n v="4"/>
    <x v="0"/>
    <n v="6"/>
    <x v="83"/>
    <n v="17"/>
  </r>
  <r>
    <x v="93"/>
    <n v="4"/>
    <x v="24"/>
    <n v="3"/>
    <x v="84"/>
    <n v="13"/>
  </r>
  <r>
    <x v="94"/>
    <n v="2"/>
    <x v="23"/>
    <n v="10"/>
    <x v="85"/>
    <n v="14"/>
  </r>
  <r>
    <x v="95"/>
    <n v="5"/>
    <x v="18"/>
    <n v="11"/>
    <x v="86"/>
    <n v="14"/>
  </r>
  <r>
    <x v="96"/>
    <n v="5"/>
    <x v="13"/>
    <n v="3"/>
    <x v="87"/>
    <n v="5"/>
  </r>
  <r>
    <x v="97"/>
    <n v="2"/>
    <x v="36"/>
    <n v="6"/>
    <x v="88"/>
    <n v="15"/>
  </r>
  <r>
    <x v="98"/>
    <n v="4"/>
    <x v="37"/>
    <n v="4"/>
    <x v="89"/>
    <n v="16"/>
  </r>
  <r>
    <x v="99"/>
    <n v="2"/>
    <x v="38"/>
    <n v="3"/>
    <x v="90"/>
    <n v="12"/>
  </r>
  <r>
    <x v="100"/>
    <n v="2"/>
    <x v="36"/>
    <n v="3"/>
    <x v="91"/>
    <n v="14"/>
  </r>
  <r>
    <x v="101"/>
    <n v="1"/>
    <x v="39"/>
    <n v="2"/>
    <x v="92"/>
    <n v="4"/>
  </r>
  <r>
    <x v="102"/>
    <n v="6"/>
    <x v="0"/>
    <n v="7"/>
    <x v="58"/>
    <n v="29"/>
  </r>
  <r>
    <x v="103"/>
    <n v="6"/>
    <x v="23"/>
    <n v="5"/>
    <x v="93"/>
    <n v="14"/>
  </r>
  <r>
    <x v="104"/>
    <n v="5"/>
    <x v="40"/>
    <n v="3"/>
    <x v="94"/>
    <n v="16"/>
  </r>
  <r>
    <x v="105"/>
    <n v="4"/>
    <x v="0"/>
    <n v="7"/>
    <x v="95"/>
    <n v="16"/>
  </r>
  <r>
    <x v="106"/>
    <n v="3"/>
    <x v="41"/>
    <n v="2"/>
    <x v="96"/>
    <n v="17"/>
  </r>
  <r>
    <x v="107"/>
    <n v="1"/>
    <x v="36"/>
    <n v="0"/>
    <x v="48"/>
    <n v="11"/>
  </r>
  <r>
    <x v="108"/>
    <n v="0"/>
    <x v="38"/>
    <n v="5"/>
    <x v="97"/>
    <n v="17"/>
  </r>
  <r>
    <x v="109"/>
    <n v="2"/>
    <x v="36"/>
    <n v="1"/>
    <x v="98"/>
    <n v="26"/>
  </r>
  <r>
    <x v="110"/>
    <n v="1"/>
    <x v="40"/>
    <n v="4"/>
    <x v="99"/>
    <n v="10"/>
  </r>
  <r>
    <x v="111"/>
    <n v="2"/>
    <x v="39"/>
    <n v="3"/>
    <x v="100"/>
    <n v="39"/>
  </r>
  <r>
    <x v="112"/>
    <n v="2"/>
    <x v="0"/>
    <n v="0"/>
    <x v="101"/>
    <n v="32"/>
  </r>
  <r>
    <x v="113"/>
    <n v="5"/>
    <x v="41"/>
    <n v="8"/>
    <x v="102"/>
    <n v="20"/>
  </r>
  <r>
    <x v="114"/>
    <n v="3"/>
    <x v="0"/>
    <n v="8"/>
    <x v="22"/>
    <n v="20"/>
  </r>
  <r>
    <x v="115"/>
    <n v="4"/>
    <x v="24"/>
    <n v="2"/>
    <x v="103"/>
    <n v="8"/>
  </r>
  <r>
    <x v="116"/>
    <n v="8"/>
    <x v="33"/>
    <n v="9"/>
    <x v="104"/>
    <n v="38"/>
  </r>
  <r>
    <x v="117"/>
    <n v="7"/>
    <x v="34"/>
    <n v="6"/>
    <x v="105"/>
    <n v="22"/>
  </r>
  <r>
    <x v="118"/>
    <n v="9"/>
    <x v="18"/>
    <n v="8"/>
    <x v="13"/>
    <n v="16"/>
  </r>
  <r>
    <x v="119"/>
    <n v="5"/>
    <x v="24"/>
    <n v="7"/>
    <x v="106"/>
    <n v="20"/>
  </r>
  <r>
    <x v="120"/>
    <n v="3"/>
    <x v="36"/>
    <n v="7"/>
    <x v="107"/>
    <n v="35"/>
  </r>
  <r>
    <x v="121"/>
    <n v="6"/>
    <x v="39"/>
    <n v="2"/>
    <x v="4"/>
    <n v="24"/>
  </r>
  <r>
    <x v="122"/>
    <n v="5"/>
    <x v="33"/>
    <n v="5"/>
    <x v="108"/>
    <n v="16"/>
  </r>
  <r>
    <x v="123"/>
    <n v="3"/>
    <x v="37"/>
    <n v="5"/>
    <x v="109"/>
    <n v="17"/>
  </r>
  <r>
    <x v="124"/>
    <n v="7"/>
    <x v="40"/>
    <n v="5"/>
    <x v="110"/>
    <n v="7"/>
  </r>
  <r>
    <x v="125"/>
    <n v="8"/>
    <x v="32"/>
    <n v="7"/>
    <x v="111"/>
    <n v="18"/>
  </r>
  <r>
    <x v="126"/>
    <n v="7"/>
    <x v="9"/>
    <n v="10"/>
    <x v="112"/>
    <n v="14"/>
  </r>
  <r>
    <x v="127"/>
    <n v="17"/>
    <x v="22"/>
    <n v="7"/>
    <x v="113"/>
    <n v="12"/>
  </r>
  <r>
    <x v="128"/>
    <n v="8"/>
    <x v="23"/>
    <n v="14"/>
    <x v="114"/>
    <n v="9"/>
  </r>
  <r>
    <x v="129"/>
    <n v="10"/>
    <x v="41"/>
    <n v="15"/>
    <x v="115"/>
    <n v="13"/>
  </r>
  <r>
    <x v="130"/>
    <n v="8"/>
    <x v="13"/>
    <n v="5"/>
    <x v="116"/>
    <n v="21"/>
  </r>
  <r>
    <x v="131"/>
    <n v="4"/>
    <x v="41"/>
    <n v="9"/>
    <x v="114"/>
    <n v="16"/>
  </r>
  <r>
    <x v="132"/>
    <n v="5"/>
    <x v="35"/>
    <n v="11"/>
    <x v="117"/>
    <n v="15"/>
  </r>
  <r>
    <x v="133"/>
    <n v="10"/>
    <x v="32"/>
    <n v="5"/>
    <x v="118"/>
    <n v="16"/>
  </r>
  <r>
    <x v="134"/>
    <n v="8"/>
    <x v="9"/>
    <n v="16"/>
    <x v="119"/>
    <n v="12"/>
  </r>
  <r>
    <x v="56"/>
    <n v="13"/>
    <x v="17"/>
    <n v="15"/>
    <x v="120"/>
    <n v="11"/>
  </r>
  <r>
    <x v="57"/>
    <n v="12"/>
    <x v="10"/>
    <n v="12"/>
    <x v="121"/>
    <n v="14"/>
  </r>
  <r>
    <x v="135"/>
    <n v="6"/>
    <x v="9"/>
    <n v="7"/>
    <x v="122"/>
    <n v="11"/>
  </r>
  <r>
    <x v="61"/>
    <n v="18"/>
    <x v="42"/>
    <n v="17"/>
    <x v="123"/>
    <n v="15"/>
  </r>
  <r>
    <x v="62"/>
    <n v="14"/>
    <x v="43"/>
    <n v="13"/>
    <x v="124"/>
    <n v="18"/>
  </r>
  <r>
    <x v="136"/>
    <n v="7"/>
    <x v="8"/>
    <n v="17"/>
    <x v="125"/>
    <n v="6"/>
  </r>
  <r>
    <x v="63"/>
    <n v="13"/>
    <x v="22"/>
    <n v="14"/>
    <x v="6"/>
    <n v="9"/>
  </r>
  <r>
    <x v="66"/>
    <n v="15"/>
    <x v="2"/>
    <n v="14"/>
    <x v="14"/>
    <n v="14"/>
  </r>
  <r>
    <x v="67"/>
    <n v="7"/>
    <x v="7"/>
    <n v="14"/>
    <x v="126"/>
    <n v="11"/>
  </r>
  <r>
    <x v="137"/>
    <n v="18"/>
    <x v="26"/>
    <n v="12"/>
    <x v="126"/>
    <n v="11"/>
  </r>
  <r>
    <x v="138"/>
    <n v="7"/>
    <x v="20"/>
    <n v="14"/>
    <x v="127"/>
    <n v="7"/>
  </r>
  <r>
    <x v="68"/>
    <n v="15"/>
    <x v="33"/>
    <n v="12"/>
    <x v="128"/>
    <n v="3"/>
  </r>
  <r>
    <x v="71"/>
    <n v="15"/>
    <x v="9"/>
    <n v="16"/>
    <x v="129"/>
    <n v="11"/>
  </r>
  <r>
    <x v="72"/>
    <n v="10"/>
    <x v="7"/>
    <n v="15"/>
    <x v="130"/>
    <n v="10"/>
  </r>
  <r>
    <x v="139"/>
    <n v="10"/>
    <x v="20"/>
    <n v="16"/>
    <x v="131"/>
    <n v="16"/>
  </r>
  <r>
    <x v="140"/>
    <n v="15"/>
    <x v="44"/>
    <n v="20"/>
    <x v="132"/>
    <n v="17"/>
  </r>
  <r>
    <x v="73"/>
    <n v="9"/>
    <x v="2"/>
    <n v="10"/>
    <x v="130"/>
    <n v="5"/>
  </r>
  <r>
    <x v="76"/>
    <n v="13"/>
    <x v="11"/>
    <n v="14"/>
    <x v="102"/>
    <n v="16"/>
  </r>
  <r>
    <x v="141"/>
    <n v="7"/>
    <x v="12"/>
    <n v="9"/>
    <x v="133"/>
    <n v="12"/>
  </r>
  <r>
    <x v="142"/>
    <n v="11"/>
    <x v="25"/>
    <n v="11"/>
    <x v="134"/>
    <n v="15"/>
  </r>
  <r>
    <x v="143"/>
    <n v="6"/>
    <x v="13"/>
    <n v="12"/>
    <x v="135"/>
    <n v="8"/>
  </r>
  <r>
    <x v="144"/>
    <n v="9"/>
    <x v="14"/>
    <n v="12"/>
    <x v="136"/>
    <n v="4"/>
  </r>
  <r>
    <x v="145"/>
    <n v="3"/>
    <x v="36"/>
    <n v="7"/>
    <x v="24"/>
    <n v="13"/>
  </r>
  <r>
    <x v="146"/>
    <n v="3"/>
    <x v="35"/>
    <n v="4"/>
    <x v="137"/>
    <n v="11"/>
  </r>
  <r>
    <x v="147"/>
    <n v="7"/>
    <x v="32"/>
    <n v="14"/>
    <x v="138"/>
    <n v="17"/>
  </r>
  <r>
    <x v="148"/>
    <n v="10"/>
    <x v="25"/>
    <n v="5"/>
    <x v="139"/>
    <n v="6"/>
  </r>
  <r>
    <x v="149"/>
    <n v="4"/>
    <x v="37"/>
    <n v="6"/>
    <x v="138"/>
    <n v="4"/>
  </r>
  <r>
    <x v="150"/>
    <n v="7"/>
    <x v="13"/>
    <n v="10"/>
    <x v="140"/>
    <n v="14"/>
  </r>
  <r>
    <x v="151"/>
    <n v="11"/>
    <x v="7"/>
    <n v="5"/>
    <x v="141"/>
    <n v="8"/>
  </r>
  <r>
    <x v="152"/>
    <n v="4"/>
    <x v="32"/>
    <n v="12"/>
    <x v="32"/>
    <n v="7"/>
  </r>
  <r>
    <x v="153"/>
    <n v="5"/>
    <x v="13"/>
    <n v="9"/>
    <x v="33"/>
    <n v="13"/>
  </r>
  <r>
    <x v="154"/>
    <n v="5"/>
    <x v="13"/>
    <n v="10"/>
    <x v="142"/>
    <n v="3"/>
  </r>
  <r>
    <x v="155"/>
    <n v="8"/>
    <x v="18"/>
    <n v="8"/>
    <x v="143"/>
    <n v="9"/>
  </r>
  <r>
    <x v="156"/>
    <n v="18"/>
    <x v="25"/>
    <n v="17"/>
    <x v="144"/>
    <n v="6"/>
  </r>
  <r>
    <x v="157"/>
    <n v="6"/>
    <x v="32"/>
    <n v="10"/>
    <x v="37"/>
    <n v="5"/>
  </r>
  <r>
    <x v="158"/>
    <n v="12"/>
    <x v="12"/>
    <n v="12"/>
    <x v="38"/>
    <n v="9"/>
  </r>
  <r>
    <x v="159"/>
    <n v="12"/>
    <x v="18"/>
    <n v="9"/>
    <x v="39"/>
    <n v="5"/>
  </r>
  <r>
    <x v="160"/>
    <n v="7"/>
    <x v="34"/>
    <n v="7"/>
    <x v="145"/>
    <n v="11"/>
  </r>
  <r>
    <x v="161"/>
    <n v="12"/>
    <x v="13"/>
    <n v="18"/>
    <x v="43"/>
    <n v="8"/>
  </r>
  <r>
    <x v="162"/>
    <n v="5"/>
    <x v="2"/>
    <n v="16"/>
    <x v="146"/>
    <n v="3"/>
  </r>
  <r>
    <x v="163"/>
    <n v="17"/>
    <x v="42"/>
    <n v="7"/>
    <x v="147"/>
    <n v="12"/>
  </r>
  <r>
    <x v="164"/>
    <n v="9"/>
    <x v="25"/>
    <n v="8"/>
    <x v="148"/>
    <n v="5"/>
  </r>
  <r>
    <x v="165"/>
    <n v="9"/>
    <x v="33"/>
    <n v="5"/>
    <x v="149"/>
    <n v="2"/>
  </r>
  <r>
    <x v="166"/>
    <n v="1"/>
    <x v="32"/>
    <n v="13"/>
    <x v="50"/>
    <n v="2"/>
  </r>
  <r>
    <x v="167"/>
    <n v="9"/>
    <x v="23"/>
    <n v="15"/>
    <x v="50"/>
    <n v="2"/>
  </r>
  <r>
    <x v="168"/>
    <n v="12"/>
    <x v="32"/>
    <n v="7"/>
    <x v="55"/>
    <n v="6"/>
  </r>
  <r>
    <x v="169"/>
    <n v="7"/>
    <x v="40"/>
    <n v="11"/>
    <x v="150"/>
    <n v="7"/>
  </r>
  <r>
    <x v="170"/>
    <n v="15"/>
    <x v="26"/>
    <n v="9"/>
    <x v="151"/>
    <n v="2"/>
  </r>
  <r>
    <x v="171"/>
    <n v="9"/>
    <x v="33"/>
    <n v="11"/>
    <x v="152"/>
    <n v="7"/>
  </r>
  <r>
    <x v="172"/>
    <n v="6"/>
    <x v="18"/>
    <n v="14"/>
    <x v="153"/>
    <n v="9"/>
  </r>
  <r>
    <x v="173"/>
    <n v="19"/>
    <x v="12"/>
    <n v="6"/>
    <x v="154"/>
    <n v="8"/>
  </r>
  <r>
    <x v="174"/>
    <n v="5"/>
    <x v="34"/>
    <n v="0"/>
    <x v="93"/>
    <n v="8"/>
  </r>
  <r>
    <x v="175"/>
    <n v="1"/>
    <x v="36"/>
    <n v="8"/>
    <x v="94"/>
    <n v="5"/>
  </r>
  <r>
    <x v="176"/>
    <n v="4"/>
    <x v="33"/>
    <n v="9"/>
    <x v="155"/>
    <n v="6"/>
  </r>
  <r>
    <x v="177"/>
    <n v="6"/>
    <x v="0"/>
    <n v="2"/>
    <x v="156"/>
    <n v="8"/>
  </r>
  <r>
    <x v="178"/>
    <n v="3"/>
    <x v="45"/>
    <n v="7"/>
    <x v="155"/>
    <n v="20"/>
  </r>
  <r>
    <x v="179"/>
    <n v="6"/>
    <x v="22"/>
    <n v="8"/>
    <x v="157"/>
    <n v="23"/>
  </r>
  <r>
    <x v="180"/>
    <n v="12"/>
    <x v="25"/>
    <n v="15"/>
    <x v="158"/>
    <n v="30"/>
  </r>
  <r>
    <x v="181"/>
    <n v="7"/>
    <x v="8"/>
    <n v="6"/>
    <x v="159"/>
    <n v="33"/>
  </r>
  <r>
    <x v="182"/>
    <n v="5"/>
    <x v="33"/>
    <n v="4"/>
    <x v="160"/>
    <n v="40"/>
  </r>
  <r>
    <x v="183"/>
    <n v="4"/>
    <x v="25"/>
    <n v="10"/>
    <x v="26"/>
    <n v="30"/>
  </r>
  <r>
    <x v="184"/>
    <n v="8"/>
    <x v="26"/>
    <n v="18"/>
    <x v="30"/>
    <n v="25"/>
  </r>
  <r>
    <x v="185"/>
    <n v="12"/>
    <x v="9"/>
    <n v="4"/>
    <x v="161"/>
    <n v="31"/>
  </r>
  <r>
    <x v="186"/>
    <n v="10"/>
    <x v="37"/>
    <n v="17"/>
    <x v="105"/>
    <n v="37"/>
  </r>
  <r>
    <x v="187"/>
    <n v="12"/>
    <x v="23"/>
    <n v="1"/>
    <x v="162"/>
    <n v="23"/>
  </r>
  <r>
    <x v="188"/>
    <n v="11"/>
    <x v="46"/>
    <n v="7"/>
    <x v="106"/>
    <n v="23"/>
  </r>
  <r>
    <x v="189"/>
    <n v="20"/>
    <x v="18"/>
    <n v="14"/>
    <x v="106"/>
    <n v="24"/>
  </r>
  <r>
    <x v="190"/>
    <n v="7"/>
    <x v="41"/>
    <n v="8"/>
    <x v="163"/>
    <n v="35"/>
  </r>
  <r>
    <x v="191"/>
    <n v="13"/>
    <x v="25"/>
    <n v="15"/>
    <x v="164"/>
    <n v="32"/>
  </r>
  <r>
    <x v="192"/>
    <n v="12"/>
    <x v="24"/>
    <n v="17"/>
    <x v="119"/>
    <n v="19"/>
  </r>
  <r>
    <x v="193"/>
    <n v="18"/>
    <x v="32"/>
    <n v="11"/>
    <x v="165"/>
    <n v="9"/>
  </r>
  <r>
    <x v="194"/>
    <n v="8"/>
    <x v="24"/>
    <n v="14"/>
    <x v="166"/>
    <n v="15"/>
  </r>
  <r>
    <x v="195"/>
    <n v="15"/>
    <x v="47"/>
    <n v="23"/>
    <x v="167"/>
    <n v="72"/>
  </r>
  <r>
    <x v="196"/>
    <n v="16"/>
    <x v="33"/>
    <n v="20"/>
    <x v="168"/>
    <n v="66"/>
  </r>
  <r>
    <x v="197"/>
    <n v="11"/>
    <x v="18"/>
    <n v="12"/>
    <x v="169"/>
    <n v="50"/>
  </r>
  <r>
    <x v="198"/>
    <n v="16"/>
    <x v="0"/>
    <n v="15"/>
    <x v="170"/>
    <n v="63"/>
  </r>
  <r>
    <x v="199"/>
    <n v="15"/>
    <x v="40"/>
    <n v="23"/>
    <x v="171"/>
    <n v="99"/>
  </r>
  <r>
    <x v="200"/>
    <n v="25"/>
    <x v="11"/>
    <n v="27"/>
    <x v="172"/>
    <n v="145"/>
  </r>
  <r>
    <x v="201"/>
    <n v="26"/>
    <x v="42"/>
    <n v="36"/>
    <x v="173"/>
    <n v="104"/>
  </r>
  <r>
    <x v="202"/>
    <n v="34"/>
    <x v="3"/>
    <n v="29"/>
    <x v="174"/>
    <n v="74"/>
  </r>
  <r>
    <x v="203"/>
    <n v="23"/>
    <x v="29"/>
    <n v="11"/>
    <x v="175"/>
    <n v="102"/>
  </r>
  <r>
    <x v="204"/>
    <n v="20"/>
    <x v="18"/>
    <n v="41"/>
    <x v="176"/>
    <n v="168"/>
  </r>
  <r>
    <x v="205"/>
    <n v="47"/>
    <x v="4"/>
    <n v="47"/>
    <x v="177"/>
    <n v="159"/>
  </r>
  <r>
    <x v="206"/>
    <n v="32"/>
    <x v="1"/>
    <n v="39"/>
    <x v="178"/>
    <n v="99"/>
  </r>
  <r>
    <x v="207"/>
    <n v="32"/>
    <x v="28"/>
    <n v="39"/>
    <x v="179"/>
    <n v="101"/>
  </r>
  <r>
    <x v="208"/>
    <n v="33"/>
    <x v="48"/>
    <n v="34"/>
    <x v="180"/>
    <n v="127"/>
  </r>
  <r>
    <x v="209"/>
    <n v="29"/>
    <x v="30"/>
    <n v="11"/>
    <x v="181"/>
    <n v="182"/>
  </r>
  <r>
    <x v="210"/>
    <n v="91"/>
    <x v="49"/>
    <n v="97"/>
    <x v="182"/>
    <n v="174"/>
  </r>
  <r>
    <x v="211"/>
    <n v="62"/>
    <x v="50"/>
    <n v="52"/>
    <x v="183"/>
    <n v="83"/>
  </r>
  <r>
    <x v="212"/>
    <n v="59"/>
    <x v="51"/>
    <n v="117"/>
    <x v="184"/>
    <n v="54"/>
  </r>
  <r>
    <x v="213"/>
    <n v="84"/>
    <x v="52"/>
    <n v="136"/>
    <x v="185"/>
    <n v="127"/>
  </r>
  <r>
    <x v="214"/>
    <n v="86"/>
    <x v="53"/>
    <n v="168"/>
    <x v="186"/>
    <n v="176"/>
  </r>
  <r>
    <x v="215"/>
    <n v="106"/>
    <x v="54"/>
    <n v="131"/>
    <x v="187"/>
    <n v="159"/>
  </r>
  <r>
    <x v="216"/>
    <n v="113"/>
    <x v="55"/>
    <n v="107"/>
    <x v="188"/>
    <n v="164"/>
  </r>
  <r>
    <x v="217"/>
    <n v="92"/>
    <x v="56"/>
    <n v="93"/>
    <x v="189"/>
    <n v="139"/>
  </r>
  <r>
    <x v="218"/>
    <n v="68"/>
    <x v="57"/>
    <n v="102"/>
    <x v="190"/>
    <n v="181"/>
  </r>
  <r>
    <x v="219"/>
    <n v="74"/>
    <x v="58"/>
    <n v="80"/>
    <x v="191"/>
    <n v="235"/>
  </r>
  <r>
    <x v="220"/>
    <n v="56"/>
    <x v="59"/>
    <n v="68"/>
    <x v="192"/>
    <n v="164"/>
  </r>
  <r>
    <x v="221"/>
    <n v="38"/>
    <x v="60"/>
    <n v="82"/>
    <x v="193"/>
    <n v="184"/>
  </r>
  <r>
    <x v="222"/>
    <n v="65"/>
    <x v="61"/>
    <n v="65"/>
    <x v="194"/>
    <n v="133"/>
  </r>
  <r>
    <x v="223"/>
    <n v="41"/>
    <x v="62"/>
    <n v="71"/>
    <x v="195"/>
    <n v="190"/>
  </r>
  <r>
    <x v="224"/>
    <n v="43"/>
    <x v="63"/>
    <n v="64"/>
    <x v="196"/>
    <n v="185"/>
  </r>
  <r>
    <x v="225"/>
    <n v="35"/>
    <x v="64"/>
    <n v="53"/>
    <x v="197"/>
    <n v="170"/>
  </r>
  <r>
    <x v="226"/>
    <n v="25"/>
    <x v="65"/>
    <n v="94"/>
    <x v="198"/>
    <n v="144"/>
  </r>
  <r>
    <x v="227"/>
    <n v="99"/>
    <x v="66"/>
    <n v="139"/>
    <x v="199"/>
    <n v="177"/>
  </r>
  <r>
    <x v="228"/>
    <n v="107"/>
    <x v="67"/>
    <n v="133"/>
    <x v="200"/>
    <n v="216"/>
  </r>
  <r>
    <x v="229"/>
    <n v="80"/>
    <x v="68"/>
    <n v="152"/>
    <x v="201"/>
    <n v="135"/>
  </r>
  <r>
    <x v="230"/>
    <n v="57"/>
    <x v="55"/>
    <n v="193"/>
    <x v="202"/>
    <n v="107"/>
  </r>
  <r>
    <x v="231"/>
    <n v="161"/>
    <x v="69"/>
    <n v="211"/>
    <x v="203"/>
    <n v="155"/>
  </r>
  <r>
    <x v="232"/>
    <n v="205"/>
    <x v="70"/>
    <n v="177"/>
    <x v="204"/>
    <n v="231"/>
  </r>
  <r>
    <x v="233"/>
    <n v="100"/>
    <x v="71"/>
    <n v="236"/>
    <x v="205"/>
    <n v="268"/>
  </r>
  <r>
    <x v="234"/>
    <n v="269"/>
    <x v="72"/>
    <n v="204"/>
    <x v="206"/>
    <n v="238"/>
  </r>
  <r>
    <x v="235"/>
    <n v="168"/>
    <x v="73"/>
    <n v="210"/>
    <x v="207"/>
    <n v="134"/>
  </r>
  <r>
    <x v="236"/>
    <n v="187"/>
    <x v="74"/>
    <n v="247"/>
    <x v="208"/>
    <n v="151"/>
  </r>
  <r>
    <x v="237"/>
    <n v="133"/>
    <x v="75"/>
    <n v="189"/>
    <x v="199"/>
    <n v="149"/>
  </r>
  <r>
    <x v="238"/>
    <n v="180"/>
    <x v="76"/>
    <n v="219"/>
    <x v="209"/>
    <n v="224"/>
  </r>
  <r>
    <x v="239"/>
    <n v="153"/>
    <x v="77"/>
    <n v="286"/>
    <x v="210"/>
    <n v="194"/>
  </r>
  <r>
    <x v="240"/>
    <n v="209"/>
    <x v="78"/>
    <n v="232"/>
    <x v="211"/>
    <n v="152"/>
  </r>
  <r>
    <x v="241"/>
    <n v="167"/>
    <x v="79"/>
    <n v="213"/>
    <x v="212"/>
    <n v="149"/>
  </r>
  <r>
    <x v="242"/>
    <n v="224"/>
    <x v="80"/>
    <n v="152"/>
    <x v="213"/>
    <n v="174"/>
  </r>
  <r>
    <x v="243"/>
    <n v="132"/>
    <x v="81"/>
    <n v="183"/>
    <x v="214"/>
    <n v="172"/>
  </r>
  <r>
    <x v="244"/>
    <n v="218"/>
    <x v="82"/>
    <n v="208"/>
    <x v="212"/>
    <n v="150"/>
  </r>
  <r>
    <x v="245"/>
    <n v="118"/>
    <x v="83"/>
    <n v="160"/>
    <x v="215"/>
    <n v="115"/>
  </r>
  <r>
    <x v="246"/>
    <n v="81"/>
    <x v="84"/>
    <n v="242"/>
    <x v="216"/>
    <n v="107"/>
  </r>
  <r>
    <x v="247"/>
    <n v="236"/>
    <x v="85"/>
    <n v="222"/>
    <x v="217"/>
    <n v="115"/>
  </r>
  <r>
    <x v="248"/>
    <n v="196"/>
    <x v="86"/>
    <n v="187"/>
    <x v="218"/>
    <n v="149"/>
  </r>
  <r>
    <x v="249"/>
    <n v="113"/>
    <x v="87"/>
    <n v="237"/>
    <x v="219"/>
    <n v="143"/>
  </r>
  <r>
    <x v="250"/>
    <n v="239"/>
    <x v="88"/>
    <n v="224"/>
    <x v="220"/>
    <n v="211"/>
  </r>
  <r>
    <x v="251"/>
    <n v="152"/>
    <x v="89"/>
    <n v="214"/>
    <x v="221"/>
    <n v="112"/>
  </r>
  <r>
    <x v="252"/>
    <n v="170"/>
    <x v="90"/>
    <n v="196"/>
    <x v="222"/>
    <n v="129"/>
  </r>
  <r>
    <x v="253"/>
    <n v="191"/>
    <x v="82"/>
    <n v="192"/>
    <x v="223"/>
    <n v="207"/>
  </r>
  <r>
    <x v="254"/>
    <n v="109"/>
    <x v="91"/>
    <n v="173"/>
    <x v="224"/>
    <n v="210"/>
  </r>
  <r>
    <x v="255"/>
    <n v="155"/>
    <x v="92"/>
    <n v="181"/>
    <x v="225"/>
    <n v="148"/>
  </r>
  <r>
    <x v="256"/>
    <n v="119"/>
    <x v="93"/>
    <n v="152"/>
    <x v="226"/>
    <n v="146"/>
  </r>
  <r>
    <x v="257"/>
    <n v="143"/>
    <x v="94"/>
    <n v="163"/>
    <x v="227"/>
    <n v="138"/>
  </r>
  <r>
    <x v="258"/>
    <n v="105"/>
    <x v="95"/>
    <n v="149"/>
    <x v="228"/>
    <n v="195"/>
  </r>
  <r>
    <x v="259"/>
    <n v="119"/>
    <x v="96"/>
    <n v="210"/>
    <x v="229"/>
    <n v="172"/>
  </r>
  <r>
    <x v="260"/>
    <n v="148"/>
    <x v="83"/>
    <n v="175"/>
    <x v="230"/>
    <n v="151"/>
  </r>
  <r>
    <x v="261"/>
    <n v="142"/>
    <x v="97"/>
    <n v="139"/>
    <x v="231"/>
    <n v="138"/>
  </r>
  <r>
    <x v="262"/>
    <n v="118"/>
    <x v="98"/>
    <n v="168"/>
    <x v="219"/>
    <n v="145"/>
  </r>
  <r>
    <x v="263"/>
    <n v="125"/>
    <x v="99"/>
    <n v="192"/>
    <x v="232"/>
    <n v="177"/>
  </r>
  <r>
    <x v="264"/>
    <n v="156"/>
    <x v="100"/>
    <n v="176"/>
    <x v="233"/>
    <n v="137"/>
  </r>
  <r>
    <x v="265"/>
    <n v="109"/>
    <x v="83"/>
    <n v="159"/>
    <x v="234"/>
    <n v="126"/>
  </r>
  <r>
    <x v="266"/>
    <n v="167"/>
    <x v="93"/>
    <n v="157"/>
    <x v="235"/>
    <n v="132"/>
  </r>
  <r>
    <x v="267"/>
    <n v="84"/>
    <x v="101"/>
    <n v="157"/>
    <x v="236"/>
    <n v="184"/>
  </r>
  <r>
    <x v="268"/>
    <n v="87"/>
    <x v="102"/>
    <n v="173"/>
    <x v="237"/>
    <n v="177"/>
  </r>
  <r>
    <x v="269"/>
    <n v="136"/>
    <x v="103"/>
    <n v="178"/>
    <x v="238"/>
    <n v="160"/>
  </r>
  <r>
    <x v="270"/>
    <n v="166"/>
    <x v="104"/>
    <n v="229"/>
    <x v="239"/>
    <n v="126"/>
  </r>
  <r>
    <x v="271"/>
    <n v="110"/>
    <x v="89"/>
    <n v="193"/>
    <x v="240"/>
    <n v="156"/>
  </r>
  <r>
    <x v="272"/>
    <n v="202"/>
    <x v="105"/>
    <n v="158"/>
    <x v="241"/>
    <n v="192"/>
  </r>
  <r>
    <x v="273"/>
    <n v="134"/>
    <x v="70"/>
    <n v="186"/>
    <x v="242"/>
    <n v="138"/>
  </r>
  <r>
    <x v="274"/>
    <n v="180"/>
    <x v="87"/>
    <n v="146"/>
    <x v="243"/>
    <n v="109"/>
  </r>
  <r>
    <x v="275"/>
    <n v="108"/>
    <x v="106"/>
    <n v="213"/>
    <x v="230"/>
    <n v="154"/>
  </r>
  <r>
    <x v="276"/>
    <n v="147"/>
    <x v="103"/>
    <n v="214"/>
    <x v="244"/>
    <n v="195"/>
  </r>
  <r>
    <x v="277"/>
    <n v="104"/>
    <x v="84"/>
    <n v="206"/>
    <x v="245"/>
    <n v="160"/>
  </r>
  <r>
    <x v="278"/>
    <n v="174"/>
    <x v="73"/>
    <n v="150"/>
    <x v="246"/>
    <n v="129"/>
  </r>
  <r>
    <x v="279"/>
    <n v="113"/>
    <x v="107"/>
    <n v="159"/>
    <x v="247"/>
    <n v="107"/>
  </r>
  <r>
    <x v="280"/>
    <n v="88"/>
    <x v="91"/>
    <n v="160"/>
    <x v="248"/>
    <n v="106"/>
  </r>
  <r>
    <x v="281"/>
    <n v="130"/>
    <x v="108"/>
    <n v="192"/>
    <x v="249"/>
    <n v="210"/>
  </r>
  <r>
    <x v="282"/>
    <n v="84"/>
    <x v="109"/>
    <n v="193"/>
    <x v="250"/>
    <n v="159"/>
  </r>
  <r>
    <x v="283"/>
    <n v="115"/>
    <x v="110"/>
    <n v="169"/>
    <x v="251"/>
    <n v="137"/>
  </r>
  <r>
    <x v="284"/>
    <n v="167"/>
    <x v="111"/>
    <n v="166"/>
    <x v="247"/>
    <n v="123"/>
  </r>
  <r>
    <x v="285"/>
    <n v="99"/>
    <x v="112"/>
    <n v="176"/>
    <x v="252"/>
    <n v="153"/>
  </r>
  <r>
    <x v="286"/>
    <n v="101"/>
    <x v="55"/>
    <n v="178"/>
    <x v="253"/>
    <n v="193"/>
  </r>
  <r>
    <x v="287"/>
    <n v="107"/>
    <x v="113"/>
    <n v="230"/>
    <x v="254"/>
    <n v="173"/>
  </r>
  <r>
    <x v="288"/>
    <n v="184"/>
    <x v="114"/>
    <n v="217"/>
    <x v="255"/>
    <n v="137"/>
  </r>
  <r>
    <x v="289"/>
    <n v="209"/>
    <x v="73"/>
    <n v="184"/>
    <x v="256"/>
    <n v="138"/>
  </r>
  <r>
    <x v="290"/>
    <n v="81"/>
    <x v="115"/>
    <n v="153"/>
    <x v="257"/>
    <n v="177"/>
  </r>
  <r>
    <x v="291"/>
    <n v="91"/>
    <x v="116"/>
    <n v="172"/>
    <x v="258"/>
    <n v="185"/>
  </r>
  <r>
    <x v="292"/>
    <n v="154"/>
    <x v="117"/>
    <n v="220"/>
    <x v="259"/>
    <n v="169"/>
  </r>
  <r>
    <x v="293"/>
    <n v="186"/>
    <x v="118"/>
    <n v="172"/>
    <x v="260"/>
    <n v="143"/>
  </r>
  <r>
    <x v="294"/>
    <n v="92"/>
    <x v="94"/>
    <n v="173"/>
    <x v="261"/>
    <n v="165"/>
  </r>
  <r>
    <x v="295"/>
    <n v="124"/>
    <x v="119"/>
    <n v="161"/>
    <x v="262"/>
    <n v="197"/>
  </r>
  <r>
    <x v="296"/>
    <n v="93"/>
    <x v="54"/>
    <n v="169"/>
    <x v="263"/>
    <n v="188"/>
  </r>
  <r>
    <x v="297"/>
    <n v="116"/>
    <x v="115"/>
    <n v="217"/>
    <x v="264"/>
    <n v="149"/>
  </r>
  <r>
    <x v="298"/>
    <n v="159"/>
    <x v="69"/>
    <n v="139"/>
    <x v="265"/>
    <n v="160"/>
  </r>
  <r>
    <x v="299"/>
    <n v="113"/>
    <x v="93"/>
    <n v="160"/>
    <x v="266"/>
    <n v="164"/>
  </r>
  <r>
    <x v="300"/>
    <n v="98"/>
    <x v="106"/>
    <n v="167"/>
    <x v="267"/>
    <n v="210"/>
  </r>
  <r>
    <x v="301"/>
    <n v="81"/>
    <x v="120"/>
    <n v="212"/>
    <x v="268"/>
    <n v="279"/>
  </r>
  <r>
    <x v="302"/>
    <n v="184"/>
    <x v="87"/>
    <n v="210"/>
    <x v="269"/>
    <n v="220"/>
  </r>
  <r>
    <x v="303"/>
    <n v="93"/>
    <x v="121"/>
    <n v="175"/>
    <x v="270"/>
    <n v="162"/>
  </r>
  <r>
    <x v="304"/>
    <n v="131"/>
    <x v="122"/>
    <n v="180"/>
    <x v="271"/>
    <n v="148"/>
  </r>
  <r>
    <x v="305"/>
    <n v="144"/>
    <x v="123"/>
    <n v="190"/>
    <x v="272"/>
    <n v="141"/>
  </r>
  <r>
    <x v="306"/>
    <n v="123"/>
    <x v="71"/>
    <n v="164"/>
    <x v="273"/>
    <n v="221"/>
  </r>
  <r>
    <x v="307"/>
    <n v="126"/>
    <x v="84"/>
    <n v="175"/>
    <x v="274"/>
    <n v="121"/>
  </r>
  <r>
    <x v="308"/>
    <n v="121"/>
    <x v="124"/>
    <n v="219"/>
    <x v="275"/>
    <n v="114"/>
  </r>
  <r>
    <x v="309"/>
    <n v="131"/>
    <x v="125"/>
    <n v="177"/>
    <x v="276"/>
    <n v="112"/>
  </r>
  <r>
    <x v="310"/>
    <n v="133"/>
    <x v="126"/>
    <n v="198"/>
    <x v="216"/>
    <n v="129"/>
  </r>
  <r>
    <x v="311"/>
    <n v="145"/>
    <x v="127"/>
    <n v="188"/>
    <x v="277"/>
    <n v="169"/>
  </r>
  <r>
    <x v="312"/>
    <n v="170"/>
    <x v="73"/>
    <n v="178"/>
    <x v="265"/>
    <n v="134"/>
  </r>
  <r>
    <x v="313"/>
    <n v="149"/>
    <x v="73"/>
    <n v="222"/>
    <x v="278"/>
    <n v="97"/>
  </r>
  <r>
    <x v="314"/>
    <n v="182"/>
    <x v="128"/>
    <n v="205"/>
    <x v="279"/>
    <n v="171"/>
  </r>
  <r>
    <x v="315"/>
    <n v="134"/>
    <x v="83"/>
    <n v="167"/>
    <x v="280"/>
    <n v="156"/>
  </r>
  <r>
    <x v="316"/>
    <n v="136"/>
    <x v="129"/>
    <n v="245"/>
    <x v="281"/>
    <n v="112"/>
  </r>
  <r>
    <x v="317"/>
    <n v="176"/>
    <x v="130"/>
    <n v="162"/>
    <x v="282"/>
    <n v="158"/>
  </r>
  <r>
    <x v="318"/>
    <n v="86"/>
    <x v="131"/>
    <n v="235"/>
    <x v="283"/>
    <n v="178"/>
  </r>
  <r>
    <x v="319"/>
    <n v="124"/>
    <x v="132"/>
    <n v="156"/>
    <x v="284"/>
    <n v="220"/>
  </r>
  <r>
    <x v="320"/>
    <n v="109"/>
    <x v="133"/>
    <n v="191"/>
    <x v="285"/>
    <n v="178"/>
  </r>
  <r>
    <x v="321"/>
    <n v="162"/>
    <x v="111"/>
    <n v="189"/>
    <x v="286"/>
    <n v="123"/>
  </r>
  <r>
    <x v="322"/>
    <n v="109"/>
    <x v="96"/>
    <n v="155"/>
    <x v="287"/>
    <n v="148"/>
  </r>
  <r>
    <x v="323"/>
    <n v="95"/>
    <x v="134"/>
    <n v="140"/>
    <x v="288"/>
    <n v="249"/>
  </r>
  <r>
    <x v="324"/>
    <n v="119"/>
    <x v="84"/>
    <n v="213"/>
    <x v="232"/>
    <n v="174"/>
  </r>
  <r>
    <x v="325"/>
    <n v="135"/>
    <x v="135"/>
    <n v="207"/>
    <x v="289"/>
    <n v="174"/>
  </r>
  <r>
    <x v="326"/>
    <n v="163"/>
    <x v="82"/>
    <n v="200"/>
    <x v="290"/>
    <n v="143"/>
  </r>
  <r>
    <x v="327"/>
    <n v="172"/>
    <x v="118"/>
    <n v="138"/>
    <x v="291"/>
    <n v="150"/>
  </r>
  <r>
    <x v="328"/>
    <n v="63"/>
    <x v="136"/>
    <n v="143"/>
    <x v="292"/>
    <n v="170"/>
  </r>
  <r>
    <x v="329"/>
    <n v="227"/>
    <x v="137"/>
    <n v="212"/>
    <x v="293"/>
    <n v="169"/>
  </r>
  <r>
    <x v="330"/>
    <n v="140"/>
    <x v="138"/>
    <n v="163"/>
    <x v="219"/>
    <n v="154"/>
  </r>
  <r>
    <x v="331"/>
    <n v="125"/>
    <x v="94"/>
    <n v="208"/>
    <x v="294"/>
    <n v="92"/>
  </r>
  <r>
    <x v="332"/>
    <n v="114"/>
    <x v="95"/>
    <n v="219"/>
    <x v="227"/>
    <n v="163"/>
  </r>
  <r>
    <x v="333"/>
    <n v="152"/>
    <x v="139"/>
    <n v="199"/>
    <x v="295"/>
    <n v="207"/>
  </r>
  <r>
    <x v="334"/>
    <n v="93"/>
    <x v="140"/>
    <n v="208"/>
    <x v="296"/>
    <n v="194"/>
  </r>
  <r>
    <x v="335"/>
    <n v="137"/>
    <x v="89"/>
    <n v="166"/>
    <x v="297"/>
    <n v="177"/>
  </r>
  <r>
    <x v="336"/>
    <n v="120"/>
    <x v="141"/>
    <n v="126"/>
    <x v="298"/>
    <n v="170"/>
  </r>
  <r>
    <x v="337"/>
    <n v="102"/>
    <x v="142"/>
    <n v="155"/>
    <x v="261"/>
    <n v="234"/>
  </r>
  <r>
    <x v="338"/>
    <n v="90"/>
    <x v="54"/>
    <n v="205"/>
    <x v="299"/>
    <n v="262"/>
  </r>
  <r>
    <x v="339"/>
    <n v="128"/>
    <x v="143"/>
    <n v="177"/>
    <x v="300"/>
    <n v="187"/>
  </r>
  <r>
    <x v="340"/>
    <n v="136"/>
    <x v="102"/>
    <n v="123"/>
    <x v="301"/>
    <n v="173"/>
  </r>
  <r>
    <x v="341"/>
    <n v="105"/>
    <x v="144"/>
    <n v="158"/>
    <x v="302"/>
    <n v="171"/>
  </r>
  <r>
    <x v="342"/>
    <n v="116"/>
    <x v="145"/>
    <n v="164"/>
    <x v="303"/>
    <n v="237"/>
  </r>
  <r>
    <x v="343"/>
    <n v="80"/>
    <x v="146"/>
    <n v="125"/>
    <x v="304"/>
    <n v="197"/>
  </r>
  <r>
    <x v="344"/>
    <n v="150"/>
    <x v="147"/>
    <n v="201"/>
    <x v="305"/>
    <n v="177"/>
  </r>
  <r>
    <x v="345"/>
    <n v="116"/>
    <x v="148"/>
    <n v="182"/>
    <x v="306"/>
    <n v="130"/>
  </r>
  <r>
    <x v="346"/>
    <n v="141"/>
    <x v="149"/>
    <n v="129"/>
    <x v="307"/>
    <n v="123"/>
  </r>
  <r>
    <x v="347"/>
    <n v="96"/>
    <x v="150"/>
    <n v="233"/>
    <x v="308"/>
    <n v="213"/>
  </r>
  <r>
    <x v="348"/>
    <n v="158"/>
    <x v="133"/>
    <n v="191"/>
    <x v="309"/>
    <n v="225"/>
  </r>
  <r>
    <x v="349"/>
    <n v="141"/>
    <x v="99"/>
    <n v="188"/>
    <x v="310"/>
    <n v="184"/>
  </r>
  <r>
    <x v="350"/>
    <n v="123"/>
    <x v="151"/>
    <n v="159"/>
    <x v="311"/>
    <n v="229"/>
  </r>
  <r>
    <x v="351"/>
    <n v="123"/>
    <x v="84"/>
    <n v="167"/>
    <x v="312"/>
    <n v="273"/>
  </r>
  <r>
    <x v="352"/>
    <n v="174"/>
    <x v="107"/>
    <n v="256"/>
    <x v="313"/>
    <n v="268"/>
  </r>
  <r>
    <x v="353"/>
    <n v="132"/>
    <x v="97"/>
    <n v="197"/>
    <x v="314"/>
    <n v="187"/>
  </r>
  <r>
    <x v="354"/>
    <n v="172"/>
    <x v="125"/>
    <n v="191"/>
    <x v="315"/>
    <n v="202"/>
  </r>
  <r>
    <x v="355"/>
    <n v="116"/>
    <x v="152"/>
    <n v="172"/>
    <x v="315"/>
    <n v="202"/>
  </r>
  <r>
    <x v="356"/>
    <n v="102"/>
    <x v="108"/>
    <n v="201"/>
    <x v="316"/>
    <n v="294"/>
  </r>
  <r>
    <x v="357"/>
    <n v="145"/>
    <x v="153"/>
    <n v="243"/>
    <x v="317"/>
    <n v="235"/>
  </r>
  <r>
    <x v="358"/>
    <n v="204"/>
    <x v="154"/>
    <n v="246"/>
    <x v="318"/>
    <n v="198"/>
  </r>
  <r>
    <x v="359"/>
    <n v="160"/>
    <x v="90"/>
    <n v="253"/>
    <x v="319"/>
    <n v="214"/>
  </r>
  <r>
    <x v="360"/>
    <n v="159"/>
    <x v="74"/>
    <n v="272"/>
    <x v="320"/>
    <n v="224"/>
  </r>
  <r>
    <x v="361"/>
    <n v="204"/>
    <x v="80"/>
    <n v="233"/>
    <x v="321"/>
    <n v="294"/>
  </r>
  <r>
    <x v="362"/>
    <n v="167"/>
    <x v="155"/>
    <n v="230"/>
    <x v="322"/>
    <n v="259"/>
  </r>
  <r>
    <x v="363"/>
    <n v="152"/>
    <x v="156"/>
    <n v="274"/>
    <x v="323"/>
    <n v="212"/>
  </r>
  <r>
    <x v="364"/>
    <n v="186"/>
    <x v="157"/>
    <n v="224"/>
    <x v="324"/>
    <n v="156"/>
  </r>
  <r>
    <x v="365"/>
    <n v="184"/>
    <x v="158"/>
    <n v="229"/>
    <x v="325"/>
    <n v="212"/>
  </r>
  <r>
    <x v="366"/>
    <n v="116"/>
    <x v="159"/>
    <n v="166"/>
    <x v="326"/>
    <n v="312"/>
  </r>
  <r>
    <x v="367"/>
    <n v="179"/>
    <x v="79"/>
    <n v="282"/>
    <x v="327"/>
    <n v="238"/>
  </r>
  <r>
    <x v="368"/>
    <n v="173"/>
    <x v="160"/>
    <n v="291"/>
    <x v="328"/>
    <n v="198"/>
  </r>
  <r>
    <x v="369"/>
    <n v="260"/>
    <x v="161"/>
    <n v="176"/>
    <x v="329"/>
    <n v="203"/>
  </r>
  <r>
    <x v="370"/>
    <n v="109"/>
    <x v="131"/>
    <n v="257"/>
    <x v="330"/>
    <n v="224"/>
  </r>
  <r>
    <x v="371"/>
    <n v="159"/>
    <x v="85"/>
    <n v="322"/>
    <x v="331"/>
    <n v="306"/>
  </r>
  <r>
    <x v="372"/>
    <n v="167"/>
    <x v="162"/>
    <n v="339"/>
    <x v="332"/>
    <n v="190"/>
  </r>
  <r>
    <x v="373"/>
    <n v="182"/>
    <x v="163"/>
    <n v="158"/>
    <x v="333"/>
    <n v="141"/>
  </r>
  <r>
    <x v="374"/>
    <n v="153"/>
    <x v="164"/>
    <n v="239"/>
    <x v="334"/>
    <n v="151"/>
  </r>
  <r>
    <x v="375"/>
    <n v="156"/>
    <x v="165"/>
    <n v="252"/>
    <x v="335"/>
    <n v="167"/>
  </r>
  <r>
    <x v="376"/>
    <n v="193"/>
    <x v="89"/>
    <n v="314"/>
    <x v="336"/>
    <n v="227"/>
  </r>
  <r>
    <x v="377"/>
    <n v="168"/>
    <x v="166"/>
    <n v="272"/>
    <x v="337"/>
    <n v="208"/>
  </r>
  <r>
    <x v="378"/>
    <n v="196"/>
    <x v="164"/>
    <n v="176"/>
    <x v="338"/>
    <n v="145"/>
  </r>
  <r>
    <x v="379"/>
    <n v="111"/>
    <x v="167"/>
    <n v="217"/>
    <x v="339"/>
    <n v="192"/>
  </r>
  <r>
    <x v="380"/>
    <n v="143"/>
    <x v="127"/>
    <n v="278"/>
    <x v="340"/>
    <n v="298"/>
  </r>
  <r>
    <x v="381"/>
    <n v="206"/>
    <x v="168"/>
    <n v="214"/>
    <x v="329"/>
    <n v="234"/>
  </r>
  <r>
    <x v="382"/>
    <n v="115"/>
    <x v="73"/>
    <n v="341"/>
    <x v="341"/>
    <n v="265"/>
  </r>
  <r>
    <x v="383"/>
    <n v="246"/>
    <x v="169"/>
    <n v="218"/>
    <x v="331"/>
    <n v="186"/>
  </r>
  <r>
    <x v="384"/>
    <n v="112"/>
    <x v="170"/>
    <n v="167"/>
    <x v="342"/>
    <n v="157"/>
  </r>
  <r>
    <x v="385"/>
    <n v="138"/>
    <x v="171"/>
    <n v="263"/>
    <x v="343"/>
    <n v="245"/>
  </r>
  <r>
    <x v="386"/>
    <n v="138"/>
    <x v="73"/>
    <n v="268"/>
    <x v="344"/>
    <n v="244"/>
  </r>
  <r>
    <x v="387"/>
    <n v="167"/>
    <x v="172"/>
    <n v="205"/>
    <x v="345"/>
    <n v="202"/>
  </r>
  <r>
    <x v="388"/>
    <n v="176"/>
    <x v="158"/>
    <n v="246"/>
    <x v="346"/>
    <n v="163"/>
  </r>
  <r>
    <x v="389"/>
    <n v="173"/>
    <x v="76"/>
    <n v="211"/>
    <x v="347"/>
    <n v="205"/>
  </r>
  <r>
    <x v="390"/>
    <n v="150"/>
    <x v="80"/>
    <n v="228"/>
    <x v="348"/>
    <n v="332"/>
  </r>
  <r>
    <x v="391"/>
    <n v="206"/>
    <x v="173"/>
    <n v="293"/>
    <x v="349"/>
    <n v="194"/>
  </r>
  <r>
    <x v="392"/>
    <n v="197"/>
    <x v="174"/>
    <n v="295"/>
    <x v="350"/>
    <n v="190"/>
  </r>
  <r>
    <x v="393"/>
    <n v="220"/>
    <x v="175"/>
    <n v="194"/>
    <x v="317"/>
    <n v="135"/>
  </r>
  <r>
    <x v="394"/>
    <n v="140"/>
    <x v="176"/>
    <n v="255"/>
    <x v="351"/>
    <n v="187"/>
  </r>
  <r>
    <x v="395"/>
    <n v="158"/>
    <x v="166"/>
    <n v="365"/>
    <x v="352"/>
    <n v="250"/>
  </r>
  <r>
    <x v="396"/>
    <n v="145"/>
    <x v="177"/>
    <n v="333"/>
    <x v="353"/>
    <n v="217"/>
  </r>
  <r>
    <x v="397"/>
    <n v="253"/>
    <x v="173"/>
    <n v="307"/>
    <x v="354"/>
    <n v="154"/>
  </r>
  <r>
    <x v="398"/>
    <n v="252"/>
    <x v="178"/>
    <n v="307"/>
    <x v="355"/>
    <n v="134"/>
  </r>
  <r>
    <x v="399"/>
    <n v="176"/>
    <x v="179"/>
    <n v="251"/>
    <x v="356"/>
    <n v="214"/>
  </r>
  <r>
    <x v="400"/>
    <n v="208"/>
    <x v="180"/>
    <n v="343"/>
    <x v="357"/>
    <n v="240"/>
  </r>
  <r>
    <x v="401"/>
    <n v="144"/>
    <x v="181"/>
    <n v="258"/>
    <x v="358"/>
    <n v="260"/>
  </r>
  <r>
    <x v="402"/>
    <n v="182"/>
    <x v="182"/>
    <n v="274"/>
    <x v="359"/>
    <n v="227"/>
  </r>
  <r>
    <x v="403"/>
    <n v="219"/>
    <x v="183"/>
    <n v="205"/>
    <x v="360"/>
    <n v="163"/>
  </r>
  <r>
    <x v="404"/>
    <n v="144"/>
    <x v="184"/>
    <n v="176"/>
    <x v="361"/>
    <n v="191"/>
  </r>
  <r>
    <x v="405"/>
    <n v="128"/>
    <x v="83"/>
    <n v="243"/>
    <x v="362"/>
    <n v="290"/>
  </r>
  <r>
    <x v="406"/>
    <n v="183"/>
    <x v="185"/>
    <n v="220"/>
    <x v="363"/>
    <n v="285"/>
  </r>
  <r>
    <x v="407"/>
    <n v="117"/>
    <x v="131"/>
    <n v="142"/>
    <x v="364"/>
    <n v="227"/>
  </r>
  <r>
    <x v="408"/>
    <n v="118"/>
    <x v="124"/>
    <n v="217"/>
    <x v="365"/>
    <n v="130"/>
  </r>
  <r>
    <x v="409"/>
    <n v="102"/>
    <x v="84"/>
    <n v="167"/>
    <x v="366"/>
    <n v="199"/>
  </r>
  <r>
    <x v="410"/>
    <n v="106"/>
    <x v="111"/>
    <n v="233"/>
    <x v="367"/>
    <n v="279"/>
  </r>
  <r>
    <x v="411"/>
    <n v="95"/>
    <x v="133"/>
    <n v="152"/>
    <x v="368"/>
    <n v="225"/>
  </r>
  <r>
    <x v="412"/>
    <n v="124"/>
    <x v="84"/>
    <n v="190"/>
    <x v="369"/>
    <n v="163"/>
  </r>
  <r>
    <x v="413"/>
    <n v="101"/>
    <x v="84"/>
    <n v="175"/>
    <x v="319"/>
    <n v="132"/>
  </r>
  <r>
    <x v="414"/>
    <n v="109"/>
    <x v="97"/>
    <n v="171"/>
    <x v="370"/>
    <n v="172"/>
  </r>
  <r>
    <x v="415"/>
    <n v="105"/>
    <x v="130"/>
    <n v="151"/>
    <x v="371"/>
    <n v="287"/>
  </r>
  <r>
    <x v="416"/>
    <n v="161"/>
    <x v="186"/>
    <n v="248"/>
    <x v="372"/>
    <n v="360"/>
  </r>
  <r>
    <x v="417"/>
    <n v="129"/>
    <x v="75"/>
    <n v="185"/>
    <x v="373"/>
    <n v="215"/>
  </r>
  <r>
    <x v="418"/>
    <n v="187"/>
    <x v="103"/>
    <n v="200"/>
    <x v="374"/>
    <n v="208"/>
  </r>
  <r>
    <x v="419"/>
    <n v="128"/>
    <x v="187"/>
    <n v="224"/>
    <x v="375"/>
    <n v="229"/>
  </r>
  <r>
    <x v="420"/>
    <n v="124"/>
    <x v="188"/>
    <n v="221"/>
    <x v="375"/>
    <n v="373"/>
  </r>
  <r>
    <x v="421"/>
    <n v="132"/>
    <x v="138"/>
    <n v="141"/>
    <x v="376"/>
    <n v="235"/>
  </r>
  <r>
    <x v="422"/>
    <n v="91"/>
    <x v="148"/>
    <n v="174"/>
    <x v="377"/>
    <n v="227"/>
  </r>
  <r>
    <x v="423"/>
    <n v="99"/>
    <x v="189"/>
    <n v="256"/>
    <x v="378"/>
    <n v="197"/>
  </r>
  <r>
    <x v="424"/>
    <n v="123"/>
    <x v="81"/>
    <n v="188"/>
    <x v="379"/>
    <n v="283"/>
  </r>
  <r>
    <x v="425"/>
    <n v="127"/>
    <x v="190"/>
    <n v="259"/>
    <x v="380"/>
    <n v="342"/>
  </r>
  <r>
    <x v="426"/>
    <n v="166"/>
    <x v="171"/>
    <n v="252"/>
    <x v="381"/>
    <n v="310"/>
  </r>
  <r>
    <x v="427"/>
    <n v="165"/>
    <x v="191"/>
    <n v="167"/>
    <x v="382"/>
    <n v="239"/>
  </r>
  <r>
    <x v="428"/>
    <n v="154"/>
    <x v="70"/>
    <n v="290"/>
    <x v="383"/>
    <n v="213"/>
  </r>
  <r>
    <x v="429"/>
    <n v="178"/>
    <x v="192"/>
    <n v="290"/>
    <x v="384"/>
    <n v="253"/>
  </r>
  <r>
    <x v="430"/>
    <n v="190"/>
    <x v="193"/>
    <n v="326"/>
    <x v="385"/>
    <n v="373"/>
  </r>
  <r>
    <x v="431"/>
    <n v="181"/>
    <x v="179"/>
    <n v="328"/>
    <x v="386"/>
    <n v="305"/>
  </r>
  <r>
    <x v="432"/>
    <n v="230"/>
    <x v="194"/>
    <n v="277"/>
    <x v="387"/>
    <n v="232"/>
  </r>
  <r>
    <x v="433"/>
    <n v="246"/>
    <x v="195"/>
    <n v="345"/>
    <x v="388"/>
    <n v="214"/>
  </r>
  <r>
    <x v="434"/>
    <n v="225"/>
    <x v="196"/>
    <n v="340"/>
    <x v="389"/>
    <n v="229"/>
  </r>
  <r>
    <x v="435"/>
    <n v="236"/>
    <x v="197"/>
    <n v="347"/>
    <x v="390"/>
    <n v="354"/>
  </r>
  <r>
    <x v="436"/>
    <n v="262"/>
    <x v="198"/>
    <n v="354"/>
    <x v="391"/>
    <n v="299"/>
  </r>
  <r>
    <x v="437"/>
    <n v="209"/>
    <x v="199"/>
    <n v="274"/>
    <x v="392"/>
    <n v="257"/>
  </r>
  <r>
    <x v="438"/>
    <n v="197"/>
    <x v="200"/>
    <n v="306"/>
    <x v="393"/>
    <n v="206"/>
  </r>
  <r>
    <x v="439"/>
    <n v="199"/>
    <x v="201"/>
    <n v="326"/>
    <x v="394"/>
    <n v="329"/>
  </r>
  <r>
    <x v="440"/>
    <n v="244"/>
    <x v="202"/>
    <n v="366"/>
    <x v="394"/>
    <n v="329"/>
  </r>
  <r>
    <x v="441"/>
    <n v="165"/>
    <x v="203"/>
    <n v="292"/>
    <x v="395"/>
    <n v="293"/>
  </r>
  <r>
    <x v="442"/>
    <n v="232"/>
    <x v="204"/>
    <n v="318"/>
    <x v="396"/>
    <n v="231"/>
  </r>
  <r>
    <x v="443"/>
    <n v="149"/>
    <x v="205"/>
    <n v="273"/>
    <x v="397"/>
    <n v="192"/>
  </r>
  <r>
    <x v="444"/>
    <n v="249"/>
    <x v="206"/>
    <n v="371"/>
    <x v="398"/>
    <n v="218"/>
  </r>
  <r>
    <x v="445"/>
    <n v="333"/>
    <x v="207"/>
    <n v="272"/>
    <x v="399"/>
    <n v="312"/>
  </r>
  <r>
    <x v="446"/>
    <n v="185"/>
    <x v="181"/>
    <n v="272"/>
    <x v="400"/>
    <n v="230"/>
  </r>
  <r>
    <x v="447"/>
    <n v="227"/>
    <x v="200"/>
    <n v="349"/>
    <x v="401"/>
    <n v="160"/>
  </r>
  <r>
    <x v="448"/>
    <n v="213"/>
    <x v="204"/>
    <n v="440"/>
    <x v="402"/>
    <n v="234"/>
  </r>
  <r>
    <x v="449"/>
    <n v="205"/>
    <x v="208"/>
    <n v="226"/>
    <x v="403"/>
    <n v="347"/>
  </r>
  <r>
    <x v="450"/>
    <n v="298"/>
    <x v="209"/>
    <n v="358"/>
    <x v="404"/>
    <n v="315"/>
  </r>
  <r>
    <x v="451"/>
    <n v="227"/>
    <x v="210"/>
    <n v="330"/>
    <x v="405"/>
    <n v="222"/>
  </r>
  <r>
    <x v="452"/>
    <n v="291"/>
    <x v="211"/>
    <n v="323"/>
    <x v="406"/>
    <n v="178"/>
  </r>
  <r>
    <x v="453"/>
    <n v="157"/>
    <x v="212"/>
    <n v="345"/>
    <x v="407"/>
    <n v="242"/>
  </r>
  <r>
    <x v="454"/>
    <n v="253"/>
    <x v="213"/>
    <n v="248"/>
    <x v="408"/>
    <n v="342"/>
  </r>
  <r>
    <x v="455"/>
    <n v="222"/>
    <x v="214"/>
    <n v="289"/>
    <x v="409"/>
    <n v="337"/>
  </r>
  <r>
    <x v="456"/>
    <n v="203"/>
    <x v="215"/>
    <n v="258"/>
    <x v="410"/>
    <n v="266"/>
  </r>
  <r>
    <x v="457"/>
    <n v="93"/>
    <x v="140"/>
    <n v="208"/>
    <x v="411"/>
    <n v="187"/>
  </r>
  <r>
    <x v="458"/>
    <n v="137"/>
    <x v="89"/>
    <n v="166"/>
    <x v="412"/>
    <n v="195"/>
  </r>
  <r>
    <x v="459"/>
    <n v="120"/>
    <x v="141"/>
    <n v="126"/>
    <x v="413"/>
    <n v="307"/>
  </r>
  <r>
    <x v="460"/>
    <n v="102"/>
    <x v="142"/>
    <n v="155"/>
    <x v="414"/>
    <n v="293"/>
  </r>
  <r>
    <x v="461"/>
    <n v="90"/>
    <x v="54"/>
    <n v="205"/>
    <x v="415"/>
    <n v="243"/>
  </r>
  <r>
    <x v="462"/>
    <n v="128"/>
    <x v="143"/>
    <n v="177"/>
    <x v="416"/>
    <n v="202"/>
  </r>
  <r>
    <x v="463"/>
    <n v="136"/>
    <x v="102"/>
    <n v="123"/>
    <x v="417"/>
    <n v="222"/>
  </r>
  <r>
    <x v="464"/>
    <n v="105"/>
    <x v="144"/>
    <n v="158"/>
    <x v="418"/>
    <n v="371"/>
  </r>
  <r>
    <x v="465"/>
    <n v="116"/>
    <x v="145"/>
    <n v="164"/>
    <x v="419"/>
    <n v="359"/>
  </r>
  <r>
    <x v="466"/>
    <n v="80"/>
    <x v="146"/>
    <n v="125"/>
    <x v="420"/>
    <n v="353"/>
  </r>
  <r>
    <x v="467"/>
    <n v="32"/>
    <x v="28"/>
    <n v="39"/>
    <x v="416"/>
    <n v="188"/>
  </r>
  <r>
    <x v="468"/>
    <n v="33"/>
    <x v="48"/>
    <n v="34"/>
    <x v="421"/>
    <n v="234"/>
  </r>
  <r>
    <x v="469"/>
    <n v="29"/>
    <x v="30"/>
    <n v="11"/>
    <x v="422"/>
    <n v="476"/>
  </r>
  <r>
    <x v="470"/>
    <n v="91"/>
    <x v="49"/>
    <n v="97"/>
    <x v="423"/>
    <n v="349"/>
  </r>
  <r>
    <x v="471"/>
    <n v="62"/>
    <x v="50"/>
    <n v="52"/>
    <x v="424"/>
    <n v="286"/>
  </r>
  <r>
    <x v="472"/>
    <n v="59"/>
    <x v="51"/>
    <n v="117"/>
    <x v="425"/>
    <n v="367"/>
  </r>
  <r>
    <x v="473"/>
    <n v="84"/>
    <x v="52"/>
    <n v="136"/>
    <x v="425"/>
    <n v="367"/>
  </r>
  <r>
    <x v="474"/>
    <n v="86"/>
    <x v="53"/>
    <n v="168"/>
    <x v="426"/>
    <n v="362"/>
  </r>
  <r>
    <x v="475"/>
    <n v="106"/>
    <x v="54"/>
    <n v="131"/>
    <x v="427"/>
    <n v="263"/>
  </r>
  <r>
    <x v="476"/>
    <n v="113"/>
    <x v="55"/>
    <n v="107"/>
    <x v="428"/>
    <n v="316"/>
  </r>
  <r>
    <x v="477"/>
    <n v="92"/>
    <x v="56"/>
    <n v="93"/>
    <x v="429"/>
    <n v="290"/>
  </r>
  <r>
    <x v="478"/>
    <n v="68"/>
    <x v="57"/>
    <n v="102"/>
    <x v="430"/>
    <n v="357"/>
  </r>
  <r>
    <x v="479"/>
    <n v="74"/>
    <x v="58"/>
    <n v="80"/>
    <x v="431"/>
    <n v="335"/>
  </r>
  <r>
    <x v="480"/>
    <n v="56"/>
    <x v="59"/>
    <n v="68"/>
    <x v="432"/>
    <n v="288"/>
  </r>
  <r>
    <x v="481"/>
    <n v="90"/>
    <x v="54"/>
    <n v="205"/>
    <x v="433"/>
    <n v="347"/>
  </r>
  <r>
    <x v="482"/>
    <n v="128"/>
    <x v="143"/>
    <n v="177"/>
    <x v="434"/>
    <n v="497"/>
  </r>
  <r>
    <x v="483"/>
    <n v="136"/>
    <x v="102"/>
    <n v="123"/>
    <x v="435"/>
    <n v="390"/>
  </r>
  <r>
    <x v="484"/>
    <n v="105"/>
    <x v="144"/>
    <n v="158"/>
    <x v="436"/>
    <n v="272"/>
  </r>
  <r>
    <x v="485"/>
    <n v="116"/>
    <x v="145"/>
    <n v="164"/>
    <x v="437"/>
    <n v="364"/>
  </r>
  <r>
    <x v="486"/>
    <n v="80"/>
    <x v="146"/>
    <n v="125"/>
    <x v="438"/>
    <n v="456"/>
  </r>
  <r>
    <x v="487"/>
    <n v="150"/>
    <x v="147"/>
    <n v="201"/>
    <x v="439"/>
    <n v="396"/>
  </r>
  <r>
    <x v="488"/>
    <n v="116"/>
    <x v="148"/>
    <n v="182"/>
    <x v="440"/>
    <n v="335"/>
  </r>
  <r>
    <x v="489"/>
    <n v="141"/>
    <x v="149"/>
    <n v="129"/>
    <x v="441"/>
    <n v="259"/>
  </r>
  <r>
    <x v="490"/>
    <n v="96"/>
    <x v="150"/>
    <n v="233"/>
    <x v="442"/>
    <n v="304"/>
  </r>
  <r>
    <x v="491"/>
    <n v="158"/>
    <x v="133"/>
    <n v="191"/>
    <x v="443"/>
    <n v="411"/>
  </r>
  <r>
    <x v="492"/>
    <n v="141"/>
    <x v="99"/>
    <n v="188"/>
    <x v="444"/>
    <n v="466"/>
  </r>
  <r>
    <x v="493"/>
    <n v="123"/>
    <x v="151"/>
    <n v="159"/>
    <x v="445"/>
    <n v="376"/>
  </r>
  <r>
    <x v="494"/>
    <n v="123"/>
    <x v="84"/>
    <n v="167"/>
    <x v="446"/>
    <n v="261"/>
  </r>
  <r>
    <x v="495"/>
    <n v="174"/>
    <x v="107"/>
    <n v="256"/>
    <x v="447"/>
    <n v="273"/>
  </r>
  <r>
    <x v="496"/>
    <n v="132"/>
    <x v="97"/>
    <n v="197"/>
    <x v="448"/>
    <n v="417"/>
  </r>
  <r>
    <x v="497"/>
    <n v="92"/>
    <x v="56"/>
    <n v="93"/>
    <x v="449"/>
    <n v="320"/>
  </r>
  <r>
    <x v="498"/>
    <n v="68"/>
    <x v="57"/>
    <n v="102"/>
    <x v="450"/>
    <n v="284"/>
  </r>
  <r>
    <x v="499"/>
    <n v="74"/>
    <x v="58"/>
    <n v="80"/>
    <x v="451"/>
    <n v="223"/>
  </r>
  <r>
    <x v="500"/>
    <n v="56"/>
    <x v="59"/>
    <n v="68"/>
    <x v="452"/>
    <n v="214"/>
  </r>
  <r>
    <x v="501"/>
    <n v="90"/>
    <x v="54"/>
    <n v="205"/>
    <x v="453"/>
    <n v="312"/>
  </r>
  <r>
    <x v="502"/>
    <n v="128"/>
    <x v="143"/>
    <n v="177"/>
    <x v="454"/>
    <n v="283"/>
  </r>
  <r>
    <x v="503"/>
    <n v="136"/>
    <x v="102"/>
    <n v="123"/>
    <x v="455"/>
    <n v="250"/>
  </r>
  <r>
    <x v="504"/>
    <n v="105"/>
    <x v="144"/>
    <n v="158"/>
    <x v="456"/>
    <n v="298"/>
  </r>
  <r>
    <x v="505"/>
    <n v="116"/>
    <x v="145"/>
    <n v="164"/>
    <x v="457"/>
    <n v="435"/>
  </r>
  <r>
    <x v="506"/>
    <n v="80"/>
    <x v="146"/>
    <n v="125"/>
    <x v="458"/>
    <n v="374"/>
  </r>
  <r>
    <x v="507"/>
    <n v="150"/>
    <x v="147"/>
    <n v="201"/>
    <x v="458"/>
    <n v="316"/>
  </r>
  <r>
    <x v="508"/>
    <n v="116"/>
    <x v="148"/>
    <n v="182"/>
    <x v="459"/>
    <n v="247"/>
  </r>
  <r>
    <x v="509"/>
    <n v="141"/>
    <x v="149"/>
    <n v="129"/>
    <x v="460"/>
    <n v="287"/>
  </r>
  <r>
    <x v="510"/>
    <n v="96"/>
    <x v="150"/>
    <n v="233"/>
    <x v="461"/>
    <n v="313"/>
  </r>
  <r>
    <x v="511"/>
    <n v="158"/>
    <x v="133"/>
    <n v="191"/>
    <x v="462"/>
    <n v="310"/>
  </r>
  <r>
    <x v="512"/>
    <n v="141"/>
    <x v="99"/>
    <n v="188"/>
    <x v="463"/>
    <n v="231"/>
  </r>
  <r>
    <x v="513"/>
    <n v="123"/>
    <x v="151"/>
    <n v="159"/>
    <x v="464"/>
    <n v="316"/>
  </r>
  <r>
    <x v="514"/>
    <n v="123"/>
    <x v="84"/>
    <n v="167"/>
    <x v="465"/>
    <n v="370"/>
  </r>
  <r>
    <x v="515"/>
    <n v="174"/>
    <x v="107"/>
    <n v="256"/>
    <x v="466"/>
    <n v="330"/>
  </r>
  <r>
    <x v="516"/>
    <n v="132"/>
    <x v="97"/>
    <n v="197"/>
    <x v="467"/>
    <n v="279"/>
  </r>
  <r>
    <x v="517"/>
    <n v="33"/>
    <x v="48"/>
    <n v="34"/>
    <x v="468"/>
    <n v="295"/>
  </r>
  <r>
    <x v="518"/>
    <n v="29"/>
    <x v="30"/>
    <n v="11"/>
    <x v="469"/>
    <n v="278"/>
  </r>
  <r>
    <x v="519"/>
    <n v="91"/>
    <x v="49"/>
    <n v="97"/>
    <x v="470"/>
    <n v="418"/>
  </r>
  <r>
    <x v="520"/>
    <n v="62"/>
    <x v="50"/>
    <n v="52"/>
    <x v="471"/>
    <n v="390"/>
  </r>
  <r>
    <x v="521"/>
    <n v="59"/>
    <x v="51"/>
    <n v="117"/>
    <x v="472"/>
    <n v="293"/>
  </r>
  <r>
    <x v="522"/>
    <n v="84"/>
    <x v="52"/>
    <n v="136"/>
    <x v="473"/>
    <n v="300"/>
  </r>
  <r>
    <x v="523"/>
    <n v="86"/>
    <x v="53"/>
    <n v="168"/>
    <x v="474"/>
    <n v="327"/>
  </r>
  <r>
    <x v="524"/>
    <n v="106"/>
    <x v="54"/>
    <n v="131"/>
    <x v="475"/>
    <n v="454"/>
  </r>
  <r>
    <x v="525"/>
    <n v="113"/>
    <x v="55"/>
    <n v="107"/>
    <x v="476"/>
    <n v="406"/>
  </r>
  <r>
    <x v="526"/>
    <n v="92"/>
    <x v="56"/>
    <n v="93"/>
    <x v="477"/>
    <n v="393"/>
  </r>
  <r>
    <x v="527"/>
    <n v="68"/>
    <x v="57"/>
    <n v="102"/>
    <x v="478"/>
    <n v="315"/>
  </r>
  <r>
    <x v="528"/>
    <n v="74"/>
    <x v="58"/>
    <n v="80"/>
    <x v="479"/>
    <n v="331"/>
  </r>
  <r>
    <x v="529"/>
    <n v="56"/>
    <x v="59"/>
    <n v="68"/>
    <x v="480"/>
    <n v="434"/>
  </r>
  <r>
    <x v="530"/>
    <n v="38"/>
    <x v="60"/>
    <n v="82"/>
    <x v="481"/>
    <n v="398"/>
  </r>
  <r>
    <x v="531"/>
    <n v="65"/>
    <x v="61"/>
    <n v="65"/>
    <x v="482"/>
    <n v="266"/>
  </r>
  <r>
    <x v="532"/>
    <n v="41"/>
    <x v="62"/>
    <n v="71"/>
    <x v="483"/>
    <n v="257"/>
  </r>
  <r>
    <x v="533"/>
    <n v="43"/>
    <x v="63"/>
    <n v="64"/>
    <x v="484"/>
    <n v="282"/>
  </r>
  <r>
    <x v="534"/>
    <n v="35"/>
    <x v="64"/>
    <n v="53"/>
    <x v="485"/>
    <n v="427"/>
  </r>
  <r>
    <x v="535"/>
    <n v="25"/>
    <x v="65"/>
    <n v="94"/>
    <x v="486"/>
    <n v="330"/>
  </r>
  <r>
    <x v="536"/>
    <n v="99"/>
    <x v="66"/>
    <n v="139"/>
    <x v="487"/>
    <n v="287"/>
  </r>
  <r>
    <x v="537"/>
    <n v="107"/>
    <x v="67"/>
    <n v="133"/>
    <x v="488"/>
    <n v="284"/>
  </r>
  <r>
    <x v="538"/>
    <n v="80"/>
    <x v="68"/>
    <n v="152"/>
    <x v="489"/>
    <n v="493"/>
  </r>
  <r>
    <x v="539"/>
    <n v="57"/>
    <x v="55"/>
    <n v="193"/>
    <x v="490"/>
    <n v="447"/>
  </r>
  <r>
    <x v="540"/>
    <n v="161"/>
    <x v="69"/>
    <n v="211"/>
    <x v="491"/>
    <n v="331"/>
  </r>
  <r>
    <x v="541"/>
    <n v="205"/>
    <x v="70"/>
    <n v="177"/>
    <x v="492"/>
    <n v="332"/>
  </r>
  <r>
    <x v="542"/>
    <n v="100"/>
    <x v="71"/>
    <n v="236"/>
    <x v="493"/>
    <n v="284"/>
  </r>
  <r>
    <x v="543"/>
    <n v="269"/>
    <x v="72"/>
    <n v="204"/>
    <x v="494"/>
    <n v="403"/>
  </r>
  <r>
    <x v="544"/>
    <n v="168"/>
    <x v="73"/>
    <n v="210"/>
    <x v="495"/>
    <n v="428"/>
  </r>
  <r>
    <x v="545"/>
    <n v="187"/>
    <x v="74"/>
    <n v="247"/>
    <x v="496"/>
    <n v="364"/>
  </r>
  <r>
    <x v="546"/>
    <n v="133"/>
    <x v="75"/>
    <n v="189"/>
    <x v="497"/>
    <n v="260"/>
  </r>
  <r>
    <x v="547"/>
    <n v="180"/>
    <x v="76"/>
    <n v="219"/>
    <x v="498"/>
    <n v="313"/>
  </r>
  <r>
    <x v="548"/>
    <n v="153"/>
    <x v="77"/>
    <n v="286"/>
    <x v="499"/>
    <n v="427"/>
  </r>
  <r>
    <x v="549"/>
    <n v="209"/>
    <x v="78"/>
    <n v="232"/>
    <x v="500"/>
    <n v="414"/>
  </r>
  <r>
    <x v="550"/>
    <n v="167"/>
    <x v="79"/>
    <n v="213"/>
    <x v="501"/>
    <n v="343"/>
  </r>
  <r>
    <x v="551"/>
    <n v="224"/>
    <x v="80"/>
    <n v="152"/>
    <x v="502"/>
    <n v="316"/>
  </r>
  <r>
    <x v="552"/>
    <n v="132"/>
    <x v="81"/>
    <n v="183"/>
    <x v="503"/>
    <n v="277"/>
  </r>
  <r>
    <x v="553"/>
    <n v="218"/>
    <x v="82"/>
    <n v="208"/>
    <x v="504"/>
    <n v="382"/>
  </r>
  <r>
    <x v="554"/>
    <n v="118"/>
    <x v="83"/>
    <n v="160"/>
    <x v="505"/>
    <n v="398"/>
  </r>
  <r>
    <x v="555"/>
    <n v="81"/>
    <x v="84"/>
    <n v="242"/>
    <x v="506"/>
    <n v="291"/>
  </r>
  <r>
    <x v="556"/>
    <n v="236"/>
    <x v="85"/>
    <n v="222"/>
    <x v="507"/>
    <n v="243"/>
  </r>
  <r>
    <x v="557"/>
    <n v="196"/>
    <x v="86"/>
    <n v="187"/>
    <x v="508"/>
    <n v="293"/>
  </r>
  <r>
    <x v="558"/>
    <n v="113"/>
    <x v="87"/>
    <n v="237"/>
    <x v="509"/>
    <n v="505"/>
  </r>
  <r>
    <x v="559"/>
    <n v="239"/>
    <x v="88"/>
    <n v="224"/>
    <x v="510"/>
    <n v="366"/>
  </r>
  <r>
    <x v="560"/>
    <n v="152"/>
    <x v="89"/>
    <n v="214"/>
    <x v="511"/>
    <n v="286"/>
  </r>
  <r>
    <x v="561"/>
    <n v="170"/>
    <x v="90"/>
    <n v="196"/>
    <x v="512"/>
    <n v="388"/>
  </r>
  <r>
    <x v="562"/>
    <n v="191"/>
    <x v="82"/>
    <n v="192"/>
    <x v="513"/>
    <n v="488"/>
  </r>
  <r>
    <x v="563"/>
    <n v="109"/>
    <x v="91"/>
    <n v="173"/>
    <x v="514"/>
    <n v="443"/>
  </r>
  <r>
    <x v="564"/>
    <n v="155"/>
    <x v="92"/>
    <n v="181"/>
    <x v="515"/>
    <n v="285"/>
  </r>
  <r>
    <x v="565"/>
    <n v="119"/>
    <x v="93"/>
    <n v="152"/>
    <x v="516"/>
    <n v="230"/>
  </r>
  <r>
    <x v="566"/>
    <n v="143"/>
    <x v="94"/>
    <n v="163"/>
    <x v="517"/>
    <n v="281"/>
  </r>
  <r>
    <x v="567"/>
    <n v="105"/>
    <x v="95"/>
    <n v="149"/>
    <x v="463"/>
    <n v="390"/>
  </r>
  <r>
    <x v="568"/>
    <n v="119"/>
    <x v="96"/>
    <n v="210"/>
    <x v="518"/>
    <n v="407"/>
  </r>
  <r>
    <x v="569"/>
    <n v="148"/>
    <x v="83"/>
    <n v="175"/>
    <x v="462"/>
    <n v="288"/>
  </r>
  <r>
    <x v="570"/>
    <n v="142"/>
    <x v="97"/>
    <n v="139"/>
    <x v="519"/>
    <n v="353"/>
  </r>
  <r>
    <x v="571"/>
    <n v="118"/>
    <x v="98"/>
    <n v="168"/>
    <x v="520"/>
    <n v="251"/>
  </r>
  <r>
    <x v="572"/>
    <n v="125"/>
    <x v="99"/>
    <n v="192"/>
    <x v="521"/>
    <n v="207"/>
  </r>
  <r>
    <x v="573"/>
    <n v="156"/>
    <x v="100"/>
    <n v="176"/>
    <x v="522"/>
    <n v="202"/>
  </r>
  <r>
    <x v="574"/>
    <n v="109"/>
    <x v="83"/>
    <n v="159"/>
    <x v="523"/>
    <n v="322"/>
  </r>
  <r>
    <x v="575"/>
    <n v="167"/>
    <x v="93"/>
    <n v="157"/>
    <x v="524"/>
    <n v="339"/>
  </r>
  <r>
    <x v="576"/>
    <n v="84"/>
    <x v="101"/>
    <n v="157"/>
    <x v="525"/>
    <n v="271"/>
  </r>
  <r>
    <x v="577"/>
    <n v="87"/>
    <x v="102"/>
    <n v="173"/>
    <x v="526"/>
    <n v="168"/>
  </r>
  <r>
    <x v="578"/>
    <n v="136"/>
    <x v="103"/>
    <n v="178"/>
    <x v="527"/>
    <n v="220"/>
  </r>
  <r>
    <x v="579"/>
    <n v="166"/>
    <x v="104"/>
    <n v="229"/>
    <x v="528"/>
    <n v="305"/>
  </r>
  <r>
    <x v="580"/>
    <n v="110"/>
    <x v="89"/>
    <n v="193"/>
    <x v="529"/>
    <n v="259"/>
  </r>
  <r>
    <x v="581"/>
    <n v="202"/>
    <x v="105"/>
    <n v="158"/>
    <x v="530"/>
    <n v="215"/>
  </r>
  <r>
    <x v="582"/>
    <n v="134"/>
    <x v="70"/>
    <n v="186"/>
    <x v="531"/>
    <n v="136"/>
  </r>
  <r>
    <x v="583"/>
    <n v="180"/>
    <x v="87"/>
    <n v="146"/>
    <x v="532"/>
    <n v="187"/>
  </r>
  <r>
    <x v="584"/>
    <n v="108"/>
    <x v="106"/>
    <n v="213"/>
    <x v="533"/>
    <n v="276"/>
  </r>
  <r>
    <x v="585"/>
    <n v="147"/>
    <x v="103"/>
    <n v="214"/>
    <x v="534"/>
    <n v="281"/>
  </r>
  <r>
    <x v="586"/>
    <n v="104"/>
    <x v="84"/>
    <n v="206"/>
    <x v="535"/>
    <n v="226"/>
  </r>
  <r>
    <x v="587"/>
    <n v="174"/>
    <x v="73"/>
    <n v="150"/>
    <x v="312"/>
    <n v="181"/>
  </r>
  <r>
    <x v="588"/>
    <n v="113"/>
    <x v="107"/>
    <n v="159"/>
    <x v="536"/>
    <n v="160"/>
  </r>
  <r>
    <x v="589"/>
    <n v="88"/>
    <x v="91"/>
    <n v="160"/>
    <x v="537"/>
    <n v="218"/>
  </r>
  <r>
    <x v="590"/>
    <n v="130"/>
    <x v="108"/>
    <n v="192"/>
    <x v="538"/>
    <n v="226"/>
  </r>
  <r>
    <x v="591"/>
    <n v="84"/>
    <x v="109"/>
    <n v="193"/>
    <x v="539"/>
    <n v="210"/>
  </r>
  <r>
    <x v="592"/>
    <n v="115"/>
    <x v="110"/>
    <n v="169"/>
    <x v="540"/>
    <n v="143"/>
  </r>
  <r>
    <x v="593"/>
    <n v="167"/>
    <x v="111"/>
    <n v="166"/>
    <x v="541"/>
    <n v="163"/>
  </r>
  <r>
    <x v="594"/>
    <n v="99"/>
    <x v="112"/>
    <n v="176"/>
    <x v="542"/>
    <n v="196"/>
  </r>
  <r>
    <x v="595"/>
    <n v="101"/>
    <x v="55"/>
    <n v="178"/>
    <x v="301"/>
    <n v="205"/>
  </r>
  <r>
    <x v="596"/>
    <n v="107"/>
    <x v="113"/>
    <n v="230"/>
    <x v="543"/>
    <n v="167"/>
  </r>
  <r>
    <x v="597"/>
    <n v="184"/>
    <x v="114"/>
    <n v="217"/>
    <x v="544"/>
    <n v="124"/>
  </r>
  <r>
    <x v="598"/>
    <n v="209"/>
    <x v="73"/>
    <n v="184"/>
    <x v="287"/>
    <n v="309"/>
  </r>
  <r>
    <x v="599"/>
    <n v="81"/>
    <x v="115"/>
    <n v="153"/>
    <x v="299"/>
    <n v="213"/>
  </r>
  <r>
    <x v="600"/>
    <n v="91"/>
    <x v="116"/>
    <n v="172"/>
    <x v="545"/>
    <n v="174"/>
  </r>
  <r>
    <x v="601"/>
    <n v="154"/>
    <x v="117"/>
    <n v="220"/>
    <x v="546"/>
    <n v="155"/>
  </r>
  <r>
    <x v="602"/>
    <n v="186"/>
    <x v="118"/>
    <n v="172"/>
    <x v="227"/>
    <n v="174"/>
  </r>
  <r>
    <x v="603"/>
    <n v="92"/>
    <x v="94"/>
    <n v="173"/>
    <x v="547"/>
    <n v="263"/>
  </r>
  <r>
    <x v="604"/>
    <n v="124"/>
    <x v="119"/>
    <n v="161"/>
    <x v="548"/>
    <n v="207"/>
  </r>
  <r>
    <x v="605"/>
    <n v="93"/>
    <x v="54"/>
    <n v="169"/>
    <x v="549"/>
    <n v="149"/>
  </r>
  <r>
    <x v="606"/>
    <n v="33"/>
    <x v="48"/>
    <n v="34"/>
    <x v="550"/>
    <n v="134"/>
  </r>
  <r>
    <x v="607"/>
    <n v="29"/>
    <x v="30"/>
    <n v="11"/>
    <x v="551"/>
    <n v="142"/>
  </r>
  <r>
    <x v="608"/>
    <n v="91"/>
    <x v="49"/>
    <n v="97"/>
    <x v="289"/>
    <n v="272"/>
  </r>
  <r>
    <x v="609"/>
    <n v="62"/>
    <x v="50"/>
    <n v="52"/>
    <x v="552"/>
    <n v="167"/>
  </r>
  <r>
    <x v="610"/>
    <n v="59"/>
    <x v="51"/>
    <n v="117"/>
    <x v="217"/>
    <n v="146"/>
  </r>
  <r>
    <x v="611"/>
    <n v="84"/>
    <x v="52"/>
    <n v="136"/>
    <x v="553"/>
    <n v="177"/>
  </r>
  <r>
    <x v="612"/>
    <n v="86"/>
    <x v="53"/>
    <n v="168"/>
    <x v="235"/>
    <n v="238"/>
  </r>
  <r>
    <x v="613"/>
    <n v="106"/>
    <x v="54"/>
    <n v="131"/>
    <x v="554"/>
    <n v="255"/>
  </r>
  <r>
    <x v="614"/>
    <n v="113"/>
    <x v="55"/>
    <n v="107"/>
    <x v="555"/>
    <n v="208"/>
  </r>
  <r>
    <x v="615"/>
    <n v="92"/>
    <x v="56"/>
    <n v="93"/>
    <x v="556"/>
    <n v="187"/>
  </r>
  <r>
    <x v="616"/>
    <n v="68"/>
    <x v="57"/>
    <n v="102"/>
    <x v="557"/>
    <n v="189"/>
  </r>
  <r>
    <x v="617"/>
    <n v="74"/>
    <x v="58"/>
    <n v="80"/>
    <x v="558"/>
    <n v="292"/>
  </r>
  <r>
    <x v="618"/>
    <n v="56"/>
    <x v="59"/>
    <n v="68"/>
    <x v="559"/>
    <n v="287"/>
  </r>
  <r>
    <x v="619"/>
    <n v="38"/>
    <x v="60"/>
    <n v="82"/>
    <x v="560"/>
    <n v="210"/>
  </r>
  <r>
    <x v="620"/>
    <n v="65"/>
    <x v="61"/>
    <n v="65"/>
    <x v="561"/>
    <n v="168"/>
  </r>
  <r>
    <x v="621"/>
    <n v="41"/>
    <x v="62"/>
    <n v="71"/>
    <x v="562"/>
    <n v="207"/>
  </r>
  <r>
    <x v="622"/>
    <n v="43"/>
    <x v="63"/>
    <n v="64"/>
    <x v="331"/>
    <n v="408"/>
  </r>
  <r>
    <x v="623"/>
    <n v="35"/>
    <x v="64"/>
    <n v="53"/>
    <x v="563"/>
    <n v="276"/>
  </r>
  <r>
    <x v="624"/>
    <n v="25"/>
    <x v="65"/>
    <n v="94"/>
    <x v="564"/>
    <n v="246"/>
  </r>
  <r>
    <x v="625"/>
    <n v="99"/>
    <x v="66"/>
    <n v="139"/>
    <x v="565"/>
    <n v="240"/>
  </r>
  <r>
    <x v="626"/>
    <n v="107"/>
    <x v="67"/>
    <n v="133"/>
    <x v="566"/>
    <n v="343"/>
  </r>
  <r>
    <x v="627"/>
    <n v="80"/>
    <x v="68"/>
    <n v="152"/>
    <x v="567"/>
    <n v="351"/>
  </r>
  <r>
    <x v="628"/>
    <n v="57"/>
    <x v="55"/>
    <n v="193"/>
    <x v="568"/>
    <n v="307"/>
  </r>
  <r>
    <x v="629"/>
    <n v="161"/>
    <x v="69"/>
    <n v="211"/>
    <x v="569"/>
    <n v="272"/>
  </r>
  <r>
    <x v="630"/>
    <n v="205"/>
    <x v="70"/>
    <n v="177"/>
    <x v="570"/>
    <n v="277"/>
  </r>
  <r>
    <x v="631"/>
    <n v="100"/>
    <x v="71"/>
    <n v="236"/>
    <x v="571"/>
    <n v="288"/>
  </r>
  <r>
    <x v="632"/>
    <n v="269"/>
    <x v="72"/>
    <n v="204"/>
    <x v="572"/>
    <n v="392"/>
  </r>
  <r>
    <x v="633"/>
    <n v="168"/>
    <x v="73"/>
    <n v="210"/>
    <x v="573"/>
    <n v="304"/>
  </r>
  <r>
    <x v="634"/>
    <n v="187"/>
    <x v="74"/>
    <n v="247"/>
    <x v="574"/>
    <n v="250"/>
  </r>
  <r>
    <x v="635"/>
    <n v="133"/>
    <x v="75"/>
    <n v="189"/>
    <x v="575"/>
    <n v="261"/>
  </r>
  <r>
    <x v="636"/>
    <n v="180"/>
    <x v="76"/>
    <n v="219"/>
    <x v="576"/>
    <n v="375"/>
  </r>
  <r>
    <x v="637"/>
    <n v="153"/>
    <x v="77"/>
    <n v="286"/>
    <x v="577"/>
    <n v="332"/>
  </r>
  <r>
    <x v="638"/>
    <n v="209"/>
    <x v="78"/>
    <n v="232"/>
    <x v="578"/>
    <n v="267"/>
  </r>
  <r>
    <x v="639"/>
    <n v="167"/>
    <x v="79"/>
    <n v="213"/>
    <x v="579"/>
    <n v="245"/>
  </r>
  <r>
    <x v="640"/>
    <n v="224"/>
    <x v="80"/>
    <n v="152"/>
    <x v="580"/>
    <n v="237"/>
  </r>
  <r>
    <x v="641"/>
    <n v="132"/>
    <x v="81"/>
    <n v="183"/>
    <x v="581"/>
    <n v="293"/>
  </r>
  <r>
    <x v="642"/>
    <n v="218"/>
    <x v="82"/>
    <n v="208"/>
    <x v="582"/>
    <n v="310"/>
  </r>
  <r>
    <x v="643"/>
    <n v="118"/>
    <x v="83"/>
    <n v="160"/>
    <x v="583"/>
    <n v="256"/>
  </r>
  <r>
    <x v="644"/>
    <n v="81"/>
    <x v="84"/>
    <n v="242"/>
    <x v="584"/>
    <n v="202"/>
  </r>
  <r>
    <x v="645"/>
    <n v="236"/>
    <x v="85"/>
    <n v="222"/>
    <x v="585"/>
    <n v="213"/>
  </r>
  <r>
    <x v="646"/>
    <n v="196"/>
    <x v="86"/>
    <n v="187"/>
    <x v="586"/>
    <n v="266"/>
  </r>
  <r>
    <x v="647"/>
    <n v="113"/>
    <x v="87"/>
    <n v="237"/>
    <x v="587"/>
    <n v="320"/>
  </r>
  <r>
    <x v="648"/>
    <n v="239"/>
    <x v="88"/>
    <n v="224"/>
    <x v="340"/>
    <n v="229"/>
  </r>
  <r>
    <x v="649"/>
    <n v="152"/>
    <x v="89"/>
    <n v="214"/>
    <x v="588"/>
    <n v="234"/>
  </r>
  <r>
    <x v="650"/>
    <n v="170"/>
    <x v="90"/>
    <n v="196"/>
    <x v="589"/>
    <n v="248"/>
  </r>
  <r>
    <x v="651"/>
    <n v="191"/>
    <x v="82"/>
    <n v="192"/>
    <x v="590"/>
    <n v="272"/>
  </r>
  <r>
    <x v="652"/>
    <n v="109"/>
    <x v="91"/>
    <n v="173"/>
    <x v="591"/>
    <n v="370"/>
  </r>
  <r>
    <x v="653"/>
    <n v="155"/>
    <x v="92"/>
    <n v="181"/>
    <x v="592"/>
    <n v="283"/>
  </r>
  <r>
    <x v="654"/>
    <n v="119"/>
    <x v="93"/>
    <n v="152"/>
    <x v="593"/>
    <n v="187"/>
  </r>
  <r>
    <x v="655"/>
    <n v="143"/>
    <x v="94"/>
    <n v="163"/>
    <x v="566"/>
    <n v="265"/>
  </r>
  <r>
    <x v="656"/>
    <n v="105"/>
    <x v="95"/>
    <n v="149"/>
    <x v="594"/>
    <n v="329"/>
  </r>
  <r>
    <x v="657"/>
    <n v="119"/>
    <x v="96"/>
    <n v="210"/>
    <x v="595"/>
    <n v="284"/>
  </r>
  <r>
    <x v="658"/>
    <n v="148"/>
    <x v="83"/>
    <n v="175"/>
    <x v="596"/>
    <n v="260"/>
  </r>
  <r>
    <x v="659"/>
    <n v="142"/>
    <x v="97"/>
    <n v="139"/>
    <x v="597"/>
    <n v="259"/>
  </r>
  <r>
    <x v="660"/>
    <n v="118"/>
    <x v="98"/>
    <n v="168"/>
    <x v="598"/>
    <n v="284"/>
  </r>
  <r>
    <x v="661"/>
    <n v="125"/>
    <x v="99"/>
    <n v="192"/>
    <x v="599"/>
    <n v="304"/>
  </r>
  <r>
    <x v="662"/>
    <n v="156"/>
    <x v="100"/>
    <n v="176"/>
    <x v="600"/>
    <n v="359"/>
  </r>
  <r>
    <x v="663"/>
    <n v="109"/>
    <x v="83"/>
    <n v="159"/>
    <x v="601"/>
    <n v="267"/>
  </r>
  <r>
    <x v="664"/>
    <n v="167"/>
    <x v="93"/>
    <n v="157"/>
    <x v="602"/>
    <n v="223"/>
  </r>
  <r>
    <x v="665"/>
    <n v="84"/>
    <x v="101"/>
    <n v="157"/>
    <x v="603"/>
    <n v="235"/>
  </r>
  <r>
    <x v="666"/>
    <n v="87"/>
    <x v="102"/>
    <n v="173"/>
    <x v="604"/>
    <n v="352"/>
  </r>
  <r>
    <x v="667"/>
    <n v="136"/>
    <x v="103"/>
    <n v="178"/>
    <x v="605"/>
    <n v="331"/>
  </r>
  <r>
    <x v="668"/>
    <n v="166"/>
    <x v="104"/>
    <n v="229"/>
    <x v="606"/>
    <n v="246"/>
  </r>
  <r>
    <x v="669"/>
    <n v="110"/>
    <x v="89"/>
    <n v="193"/>
    <x v="607"/>
    <n v="221"/>
  </r>
  <r>
    <x v="670"/>
    <n v="202"/>
    <x v="105"/>
    <n v="158"/>
    <x v="608"/>
    <n v="279"/>
  </r>
  <r>
    <x v="671"/>
    <n v="134"/>
    <x v="70"/>
    <n v="186"/>
    <x v="609"/>
    <n v="306"/>
  </r>
  <r>
    <x v="672"/>
    <n v="180"/>
    <x v="87"/>
    <n v="146"/>
    <x v="610"/>
    <n v="308"/>
  </r>
  <r>
    <x v="673"/>
    <n v="108"/>
    <x v="106"/>
    <n v="213"/>
    <x v="611"/>
    <n v="286"/>
  </r>
  <r>
    <x v="674"/>
    <n v="147"/>
    <x v="103"/>
    <n v="214"/>
    <x v="612"/>
    <n v="181"/>
  </r>
  <r>
    <x v="675"/>
    <n v="104"/>
    <x v="84"/>
    <n v="206"/>
    <x v="613"/>
    <n v="249"/>
  </r>
  <r>
    <x v="676"/>
    <n v="174"/>
    <x v="73"/>
    <n v="150"/>
    <x v="614"/>
    <n v="340"/>
  </r>
  <r>
    <x v="677"/>
    <n v="113"/>
    <x v="107"/>
    <n v="159"/>
    <x v="609"/>
    <n v="291"/>
  </r>
  <r>
    <x v="678"/>
    <n v="88"/>
    <x v="91"/>
    <n v="160"/>
    <x v="615"/>
    <n v="259"/>
  </r>
  <r>
    <x v="679"/>
    <n v="130"/>
    <x v="108"/>
    <n v="192"/>
    <x v="616"/>
    <n v="335"/>
  </r>
  <r>
    <x v="680"/>
    <n v="84"/>
    <x v="109"/>
    <n v="193"/>
    <x v="617"/>
    <n v="307"/>
  </r>
  <r>
    <x v="681"/>
    <n v="115"/>
    <x v="110"/>
    <n v="169"/>
    <x v="618"/>
    <n v="200"/>
  </r>
  <r>
    <x v="682"/>
    <n v="167"/>
    <x v="111"/>
    <n v="166"/>
    <x v="527"/>
    <n v="248"/>
  </r>
  <r>
    <x v="683"/>
    <n v="99"/>
    <x v="112"/>
    <n v="176"/>
    <x v="619"/>
    <n v="323"/>
  </r>
  <r>
    <x v="684"/>
    <n v="101"/>
    <x v="55"/>
    <n v="178"/>
    <x v="620"/>
    <n v="386"/>
  </r>
  <r>
    <x v="685"/>
    <n v="107"/>
    <x v="113"/>
    <n v="230"/>
    <x v="621"/>
    <n v="232"/>
  </r>
  <r>
    <x v="686"/>
    <n v="184"/>
    <x v="114"/>
    <n v="217"/>
    <x v="622"/>
    <n v="213"/>
  </r>
  <r>
    <x v="687"/>
    <n v="209"/>
    <x v="73"/>
    <n v="184"/>
    <x v="623"/>
    <n v="209"/>
  </r>
  <r>
    <x v="688"/>
    <n v="81"/>
    <x v="115"/>
    <n v="153"/>
    <x v="624"/>
    <n v="361"/>
  </r>
  <r>
    <x v="689"/>
    <n v="91"/>
    <x v="116"/>
    <n v="172"/>
    <x v="625"/>
    <n v="290"/>
  </r>
  <r>
    <x v="690"/>
    <n v="154"/>
    <x v="117"/>
    <n v="220"/>
    <x v="626"/>
    <n v="223"/>
  </r>
  <r>
    <x v="691"/>
    <n v="186"/>
    <x v="118"/>
    <n v="172"/>
    <x v="627"/>
    <n v="244"/>
  </r>
  <r>
    <x v="692"/>
    <n v="92"/>
    <x v="94"/>
    <n v="173"/>
    <x v="628"/>
    <n v="317"/>
  </r>
  <r>
    <x v="693"/>
    <n v="124"/>
    <x v="119"/>
    <n v="161"/>
    <x v="629"/>
    <n v="353"/>
  </r>
  <r>
    <x v="694"/>
    <n v="93"/>
    <x v="54"/>
    <n v="169"/>
    <x v="611"/>
    <n v="317"/>
  </r>
  <r>
    <x v="695"/>
    <n v="16"/>
    <x v="33"/>
    <n v="20"/>
    <x v="630"/>
    <n v="200"/>
  </r>
  <r>
    <x v="696"/>
    <n v="11"/>
    <x v="18"/>
    <n v="12"/>
    <x v="631"/>
    <n v="196"/>
  </r>
  <r>
    <x v="697"/>
    <n v="16"/>
    <x v="0"/>
    <n v="15"/>
    <x v="632"/>
    <n v="342"/>
  </r>
  <r>
    <x v="698"/>
    <n v="15"/>
    <x v="40"/>
    <n v="23"/>
    <x v="633"/>
    <n v="298"/>
  </r>
  <r>
    <x v="699"/>
    <n v="25"/>
    <x v="11"/>
    <n v="27"/>
    <x v="634"/>
    <n v="231"/>
  </r>
  <r>
    <x v="700"/>
    <n v="26"/>
    <x v="42"/>
    <n v="36"/>
    <x v="635"/>
    <n v="158"/>
  </r>
  <r>
    <x v="701"/>
    <n v="34"/>
    <x v="3"/>
    <n v="29"/>
    <x v="636"/>
    <n v="196"/>
  </r>
  <r>
    <x v="702"/>
    <n v="23"/>
    <x v="29"/>
    <n v="11"/>
    <x v="637"/>
    <n v="303"/>
  </r>
  <r>
    <x v="703"/>
    <n v="20"/>
    <x v="18"/>
    <n v="41"/>
    <x v="638"/>
    <n v="180"/>
  </r>
  <r>
    <x v="704"/>
    <n v="47"/>
    <x v="4"/>
    <n v="47"/>
    <x v="318"/>
    <n v="175"/>
  </r>
  <r>
    <x v="705"/>
    <n v="32"/>
    <x v="1"/>
    <n v="39"/>
    <x v="639"/>
    <n v="181"/>
  </r>
  <r>
    <x v="706"/>
    <n v="32"/>
    <x v="28"/>
    <n v="39"/>
    <x v="640"/>
    <n v="227"/>
  </r>
  <r>
    <x v="707"/>
    <n v="33"/>
    <x v="48"/>
    <n v="34"/>
    <x v="641"/>
    <n v="4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98A1E8-64E2-4638-A3FC-EE150AE9F3AC}" name="PivotTable3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3">
  <location ref="B4:F18" firstHeaderRow="1" firstDataRow="2" firstDataCol="1"/>
  <pivotFields count="8">
    <pivotField numFmtId="14" showAll="0">
      <items count="709">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76"/>
        <item x="75"/>
        <item x="74"/>
        <item x="73"/>
        <item x="140"/>
        <item x="139"/>
        <item x="72"/>
        <item x="71"/>
        <item x="70"/>
        <item x="69"/>
        <item x="68"/>
        <item x="138"/>
        <item x="137"/>
        <item x="67"/>
        <item x="66"/>
        <item x="65"/>
        <item x="64"/>
        <item x="63"/>
        <item x="136"/>
        <item x="62"/>
        <item x="61"/>
        <item x="60"/>
        <item x="59"/>
        <item x="58"/>
        <item x="135"/>
        <item x="57"/>
        <item x="56"/>
        <item x="5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Col" showAll="0">
      <items count="6">
        <item x="0"/>
        <item x="1"/>
        <item x="2"/>
        <item x="3"/>
        <item x="4"/>
        <item t="default"/>
      </items>
    </pivotField>
  </pivotFields>
  <rowFields count="1">
    <field x="6"/>
  </rowFields>
  <rowItems count="13">
    <i>
      <x v="1"/>
    </i>
    <i>
      <x v="2"/>
    </i>
    <i>
      <x v="3"/>
    </i>
    <i>
      <x v="4"/>
    </i>
    <i>
      <x v="5"/>
    </i>
    <i>
      <x v="6"/>
    </i>
    <i>
      <x v="7"/>
    </i>
    <i>
      <x v="8"/>
    </i>
    <i>
      <x v="9"/>
    </i>
    <i>
      <x v="10"/>
    </i>
    <i>
      <x v="11"/>
    </i>
    <i>
      <x v="12"/>
    </i>
    <i t="grand">
      <x/>
    </i>
  </rowItems>
  <colFields count="1">
    <field x="7"/>
  </colFields>
  <colItems count="4">
    <i>
      <x v="1"/>
    </i>
    <i>
      <x v="2"/>
    </i>
    <i>
      <x v="3"/>
    </i>
    <i t="grand">
      <x/>
    </i>
  </colItems>
  <dataFields count="1">
    <dataField name="Sum of Children_Apprehended" fld="1" baseField="6" baseItem="7"/>
  </dataFields>
  <chartFormats count="18">
    <chartFormat chart="0" format="0" series="1">
      <pivotArea type="data" outline="0" fieldPosition="0">
        <references count="2">
          <reference field="4294967294" count="1" selected="0">
            <x v="0"/>
          </reference>
          <reference field="6" count="1" selected="0">
            <x v="1"/>
          </reference>
        </references>
      </pivotArea>
    </chartFormat>
    <chartFormat chart="0" format="1" series="1">
      <pivotArea type="data" outline="0" fieldPosition="0">
        <references count="2">
          <reference field="4294967294" count="1" selected="0">
            <x v="0"/>
          </reference>
          <reference field="6" count="1" selected="0">
            <x v="2"/>
          </reference>
        </references>
      </pivotArea>
    </chartFormat>
    <chartFormat chart="0" format="2" series="1">
      <pivotArea type="data" outline="0" fieldPosition="0">
        <references count="2">
          <reference field="4294967294" count="1" selected="0">
            <x v="0"/>
          </reference>
          <reference field="6" count="1" selected="0">
            <x v="3"/>
          </reference>
        </references>
      </pivotArea>
    </chartFormat>
    <chartFormat chart="0" format="3" series="1">
      <pivotArea type="data" outline="0" fieldPosition="0">
        <references count="2">
          <reference field="4294967294" count="1" selected="0">
            <x v="0"/>
          </reference>
          <reference field="6" count="1" selected="0">
            <x v="4"/>
          </reference>
        </references>
      </pivotArea>
    </chartFormat>
    <chartFormat chart="0" format="4" series="1">
      <pivotArea type="data" outline="0" fieldPosition="0">
        <references count="2">
          <reference field="4294967294" count="1" selected="0">
            <x v="0"/>
          </reference>
          <reference field="6" count="1" selected="0">
            <x v="5"/>
          </reference>
        </references>
      </pivotArea>
    </chartFormat>
    <chartFormat chart="0" format="5" series="1">
      <pivotArea type="data" outline="0" fieldPosition="0">
        <references count="2">
          <reference field="4294967294" count="1" selected="0">
            <x v="0"/>
          </reference>
          <reference field="6" count="1" selected="0">
            <x v="6"/>
          </reference>
        </references>
      </pivotArea>
    </chartFormat>
    <chartFormat chart="0" format="6" series="1">
      <pivotArea type="data" outline="0" fieldPosition="0">
        <references count="2">
          <reference field="4294967294" count="1" selected="0">
            <x v="0"/>
          </reference>
          <reference field="6" count="1" selected="0">
            <x v="7"/>
          </reference>
        </references>
      </pivotArea>
    </chartFormat>
    <chartFormat chart="0" format="7" series="1">
      <pivotArea type="data" outline="0" fieldPosition="0">
        <references count="2">
          <reference field="4294967294" count="1" selected="0">
            <x v="0"/>
          </reference>
          <reference field="6" count="1" selected="0">
            <x v="8"/>
          </reference>
        </references>
      </pivotArea>
    </chartFormat>
    <chartFormat chart="0" format="8" series="1">
      <pivotArea type="data" outline="0" fieldPosition="0">
        <references count="2">
          <reference field="4294967294" count="1" selected="0">
            <x v="0"/>
          </reference>
          <reference field="6" count="1" selected="0">
            <x v="9"/>
          </reference>
        </references>
      </pivotArea>
    </chartFormat>
    <chartFormat chart="0" format="9" series="1">
      <pivotArea type="data" outline="0" fieldPosition="0">
        <references count="2">
          <reference field="4294967294" count="1" selected="0">
            <x v="0"/>
          </reference>
          <reference field="6" count="1" selected="0">
            <x v="10"/>
          </reference>
        </references>
      </pivotArea>
    </chartFormat>
    <chartFormat chart="0" format="10" series="1">
      <pivotArea type="data" outline="0" fieldPosition="0">
        <references count="2">
          <reference field="4294967294" count="1" selected="0">
            <x v="0"/>
          </reference>
          <reference field="6" count="1" selected="0">
            <x v="11"/>
          </reference>
        </references>
      </pivotArea>
    </chartFormat>
    <chartFormat chart="0" format="11" series="1">
      <pivotArea type="data" outline="0" fieldPosition="0">
        <references count="2">
          <reference field="4294967294" count="1" selected="0">
            <x v="0"/>
          </reference>
          <reference field="6" count="1" selected="0">
            <x v="12"/>
          </reference>
        </references>
      </pivotArea>
    </chartFormat>
    <chartFormat chart="7" format="6" series="1">
      <pivotArea type="data" outline="0" fieldPosition="0">
        <references count="2">
          <reference field="4294967294" count="1" selected="0">
            <x v="0"/>
          </reference>
          <reference field="7" count="1" selected="0">
            <x v="1"/>
          </reference>
        </references>
      </pivotArea>
    </chartFormat>
    <chartFormat chart="7" format="7" series="1">
      <pivotArea type="data" outline="0" fieldPosition="0">
        <references count="2">
          <reference field="4294967294" count="1" selected="0">
            <x v="0"/>
          </reference>
          <reference field="7" count="1" selected="0">
            <x v="2"/>
          </reference>
        </references>
      </pivotArea>
    </chartFormat>
    <chartFormat chart="7" format="8" series="1">
      <pivotArea type="data" outline="0" fieldPosition="0">
        <references count="2">
          <reference field="4294967294" count="1" selected="0">
            <x v="0"/>
          </reference>
          <reference field="7" count="1" selected="0">
            <x v="3"/>
          </reference>
        </references>
      </pivotArea>
    </chartFormat>
    <chartFormat chart="10" format="9" series="1">
      <pivotArea type="data" outline="0" fieldPosition="0">
        <references count="2">
          <reference field="4294967294" count="1" selected="0">
            <x v="0"/>
          </reference>
          <reference field="7" count="1" selected="0">
            <x v="1"/>
          </reference>
        </references>
      </pivotArea>
    </chartFormat>
    <chartFormat chart="10" format="10" series="1">
      <pivotArea type="data" outline="0" fieldPosition="0">
        <references count="2">
          <reference field="4294967294" count="1" selected="0">
            <x v="0"/>
          </reference>
          <reference field="7" count="1" selected="0">
            <x v="2"/>
          </reference>
        </references>
      </pivotArea>
    </chartFormat>
    <chartFormat chart="10" format="11" series="1">
      <pivotArea type="data" outline="0" fieldPosition="0">
        <references count="2">
          <reference field="4294967294" count="1" selected="0">
            <x v="0"/>
          </reference>
          <reference field="7" count="1" selected="0">
            <x v="3"/>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2B61B9-DEF9-431D-A295-24B3CE66C08B}" name="PivotTable3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M21:Q35" firstHeaderRow="1" firstDataRow="2" firstDataCol="1"/>
  <pivotFields count="8">
    <pivotField numFmtId="14" showAll="0">
      <items count="709">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76"/>
        <item x="75"/>
        <item x="74"/>
        <item x="73"/>
        <item x="140"/>
        <item x="139"/>
        <item x="72"/>
        <item x="71"/>
        <item x="70"/>
        <item x="69"/>
        <item x="68"/>
        <item x="138"/>
        <item x="137"/>
        <item x="67"/>
        <item x="66"/>
        <item x="65"/>
        <item x="64"/>
        <item x="63"/>
        <item x="136"/>
        <item x="62"/>
        <item x="61"/>
        <item x="60"/>
        <item x="59"/>
        <item x="58"/>
        <item x="135"/>
        <item x="57"/>
        <item x="56"/>
        <item x="5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5">
        <item sd="0" x="0"/>
        <item sd="0" x="1"/>
        <item sd="0" x="2"/>
        <item sd="0" x="3"/>
        <item sd="0" x="4"/>
      </items>
    </pivotField>
  </pivotFields>
  <rowFields count="1">
    <field x="6"/>
  </rowFields>
  <rowItems count="13">
    <i>
      <x v="1"/>
    </i>
    <i>
      <x v="2"/>
    </i>
    <i>
      <x v="3"/>
    </i>
    <i>
      <x v="4"/>
    </i>
    <i>
      <x v="5"/>
    </i>
    <i>
      <x v="6"/>
    </i>
    <i>
      <x v="7"/>
    </i>
    <i>
      <x v="8"/>
    </i>
    <i>
      <x v="9"/>
    </i>
    <i>
      <x v="10"/>
    </i>
    <i>
      <x v="11"/>
    </i>
    <i>
      <x v="12"/>
    </i>
    <i t="grand">
      <x/>
    </i>
  </rowItems>
  <colFields count="1">
    <field x="7"/>
  </colFields>
  <colItems count="4">
    <i>
      <x v="1"/>
    </i>
    <i>
      <x v="2"/>
    </i>
    <i>
      <x v="3"/>
    </i>
    <i t="grand">
      <x/>
    </i>
  </colItems>
  <dataFields count="1">
    <dataField name="Sum of Children discharged from HHS Care" fld="5" baseField="0" baseItem="0"/>
  </dataFields>
  <chartFormats count="9">
    <chartFormat chart="0" format="0" series="1">
      <pivotArea type="data" outline="0" fieldPosition="0">
        <references count="2">
          <reference field="4294967294" count="1" selected="0">
            <x v="0"/>
          </reference>
          <reference field="7" count="1" selected="0">
            <x v="1"/>
          </reference>
        </references>
      </pivotArea>
    </chartFormat>
    <chartFormat chart="0" format="1" series="1">
      <pivotArea type="data" outline="0" fieldPosition="0">
        <references count="2">
          <reference field="4294967294" count="1" selected="0">
            <x v="0"/>
          </reference>
          <reference field="7" count="1" selected="0">
            <x v="2"/>
          </reference>
        </references>
      </pivotArea>
    </chartFormat>
    <chartFormat chart="0" format="2" series="1">
      <pivotArea type="data" outline="0" fieldPosition="0">
        <references count="2">
          <reference field="4294967294" count="1" selected="0">
            <x v="0"/>
          </reference>
          <reference field="7" count="1" selected="0">
            <x v="3"/>
          </reference>
        </references>
      </pivotArea>
    </chartFormat>
    <chartFormat chart="1" format="0" series="1">
      <pivotArea type="data" outline="0" fieldPosition="0">
        <references count="2">
          <reference field="4294967294" count="1" selected="0">
            <x v="0"/>
          </reference>
          <reference field="7" count="1" selected="0">
            <x v="1"/>
          </reference>
        </references>
      </pivotArea>
    </chartFormat>
    <chartFormat chart="1" format="1" series="1">
      <pivotArea type="data" outline="0" fieldPosition="0">
        <references count="2">
          <reference field="4294967294" count="1" selected="0">
            <x v="0"/>
          </reference>
          <reference field="7" count="1" selected="0">
            <x v="2"/>
          </reference>
        </references>
      </pivotArea>
    </chartFormat>
    <chartFormat chart="1" format="2" series="1">
      <pivotArea type="data" outline="0" fieldPosition="0">
        <references count="2">
          <reference field="4294967294" count="1" selected="0">
            <x v="0"/>
          </reference>
          <reference field="7" count="1" selected="0">
            <x v="3"/>
          </reference>
        </references>
      </pivotArea>
    </chartFormat>
    <chartFormat chart="3" format="6" series="1">
      <pivotArea type="data" outline="0" fieldPosition="0">
        <references count="2">
          <reference field="4294967294" count="1" selected="0">
            <x v="0"/>
          </reference>
          <reference field="7" count="1" selected="0">
            <x v="1"/>
          </reference>
        </references>
      </pivotArea>
    </chartFormat>
    <chartFormat chart="3" format="7" series="1">
      <pivotArea type="data" outline="0" fieldPosition="0">
        <references count="2">
          <reference field="4294967294" count="1" selected="0">
            <x v="0"/>
          </reference>
          <reference field="7" count="1" selected="0">
            <x v="2"/>
          </reference>
        </references>
      </pivotArea>
    </chartFormat>
    <chartFormat chart="3" format="8" series="1">
      <pivotArea type="data" outline="0" fieldPosition="0">
        <references count="2">
          <reference field="4294967294" count="1" selected="0">
            <x v="0"/>
          </reference>
          <reference field="7" count="1" selected="0">
            <x v="3"/>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935849-EB5C-413D-828F-2A6188086C89}" name="PivotTable3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G21:K35" firstHeaderRow="1" firstDataRow="2" firstDataCol="1"/>
  <pivotFields count="8">
    <pivotField numFmtId="14" showAll="0">
      <items count="709">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76"/>
        <item x="75"/>
        <item x="74"/>
        <item x="73"/>
        <item x="140"/>
        <item x="139"/>
        <item x="72"/>
        <item x="71"/>
        <item x="70"/>
        <item x="69"/>
        <item x="68"/>
        <item x="138"/>
        <item x="137"/>
        <item x="67"/>
        <item x="66"/>
        <item x="65"/>
        <item x="64"/>
        <item x="63"/>
        <item x="136"/>
        <item x="62"/>
        <item x="61"/>
        <item x="60"/>
        <item x="59"/>
        <item x="58"/>
        <item x="135"/>
        <item x="57"/>
        <item x="56"/>
        <item x="5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5">
        <item sd="0" x="0"/>
        <item sd="0" x="1"/>
        <item sd="0" x="2"/>
        <item sd="0" x="3"/>
        <item sd="0" x="4"/>
      </items>
    </pivotField>
  </pivotFields>
  <rowFields count="1">
    <field x="6"/>
  </rowFields>
  <rowItems count="13">
    <i>
      <x v="1"/>
    </i>
    <i>
      <x v="2"/>
    </i>
    <i>
      <x v="3"/>
    </i>
    <i>
      <x v="4"/>
    </i>
    <i>
      <x v="5"/>
    </i>
    <i>
      <x v="6"/>
    </i>
    <i>
      <x v="7"/>
    </i>
    <i>
      <x v="8"/>
    </i>
    <i>
      <x v="9"/>
    </i>
    <i>
      <x v="10"/>
    </i>
    <i>
      <x v="11"/>
    </i>
    <i>
      <x v="12"/>
    </i>
    <i t="grand">
      <x/>
    </i>
  </rowItems>
  <colFields count="1">
    <field x="7"/>
  </colFields>
  <colItems count="4">
    <i>
      <x v="1"/>
    </i>
    <i>
      <x v="2"/>
    </i>
    <i>
      <x v="3"/>
    </i>
    <i t="grand">
      <x/>
    </i>
  </colItems>
  <dataFields count="1">
    <dataField name="Sum of Children transferred out of CBP custody" fld="3" baseField="0" baseItem="0"/>
  </dataFields>
  <chartFormats count="7">
    <chartFormat chart="0" format="0" series="1">
      <pivotArea type="data" outline="0" fieldPosition="0">
        <references count="2">
          <reference field="4294967294" count="1" selected="0">
            <x v="0"/>
          </reference>
          <reference field="7" count="1" selected="0">
            <x v="1"/>
          </reference>
        </references>
      </pivotArea>
    </chartFormat>
    <chartFormat chart="0" format="1" series="1">
      <pivotArea type="data" outline="0" fieldPosition="0">
        <references count="2">
          <reference field="4294967294" count="1" selected="0">
            <x v="0"/>
          </reference>
          <reference field="7" count="1" selected="0">
            <x v="2"/>
          </reference>
        </references>
      </pivotArea>
    </chartFormat>
    <chartFormat chart="0" format="2" series="1">
      <pivotArea type="data" outline="0" fieldPosition="0">
        <references count="2">
          <reference field="4294967294" count="1" selected="0">
            <x v="0"/>
          </reference>
          <reference field="7" count="1" selected="0">
            <x v="3"/>
          </reference>
        </references>
      </pivotArea>
    </chartFormat>
    <chartFormat chart="2" format="6" series="1">
      <pivotArea type="data" outline="0" fieldPosition="0">
        <references count="2">
          <reference field="4294967294" count="1" selected="0">
            <x v="0"/>
          </reference>
          <reference field="7" count="1" selected="0">
            <x v="1"/>
          </reference>
        </references>
      </pivotArea>
    </chartFormat>
    <chartFormat chart="2" format="7" series="1">
      <pivotArea type="data" outline="0" fieldPosition="0">
        <references count="2">
          <reference field="4294967294" count="1" selected="0">
            <x v="0"/>
          </reference>
          <reference field="7" count="1" selected="0">
            <x v="2"/>
          </reference>
        </references>
      </pivotArea>
    </chartFormat>
    <chartFormat chart="2" format="8" series="1">
      <pivotArea type="data" outline="0" fieldPosition="0">
        <references count="2">
          <reference field="4294967294" count="1" selected="0">
            <x v="0"/>
          </reference>
          <reference field="7" count="1" selected="0">
            <x v="3"/>
          </reference>
        </references>
      </pivotArea>
    </chartFormat>
    <chartFormat chart="2" format="9"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6114F2-B0A9-460A-83A9-80AD8BF0A9E5}" name="PivotTable3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21:E35" firstHeaderRow="1" firstDataRow="2" firstDataCol="1"/>
  <pivotFields count="8">
    <pivotField numFmtId="14" showAll="0">
      <items count="709">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76"/>
        <item x="75"/>
        <item x="74"/>
        <item x="73"/>
        <item x="140"/>
        <item x="139"/>
        <item x="72"/>
        <item x="71"/>
        <item x="70"/>
        <item x="69"/>
        <item x="68"/>
        <item x="138"/>
        <item x="137"/>
        <item x="67"/>
        <item x="66"/>
        <item x="65"/>
        <item x="64"/>
        <item x="63"/>
        <item x="136"/>
        <item x="62"/>
        <item x="61"/>
        <item x="60"/>
        <item x="59"/>
        <item x="58"/>
        <item x="135"/>
        <item x="57"/>
        <item x="56"/>
        <item x="5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5">
        <item sd="0" x="0"/>
        <item sd="0" x="1"/>
        <item sd="0" x="2"/>
        <item sd="0" x="3"/>
        <item sd="0" x="4"/>
      </items>
    </pivotField>
  </pivotFields>
  <rowFields count="1">
    <field x="6"/>
  </rowFields>
  <rowItems count="13">
    <i>
      <x v="1"/>
    </i>
    <i>
      <x v="2"/>
    </i>
    <i>
      <x v="3"/>
    </i>
    <i>
      <x v="4"/>
    </i>
    <i>
      <x v="5"/>
    </i>
    <i>
      <x v="6"/>
    </i>
    <i>
      <x v="7"/>
    </i>
    <i>
      <x v="8"/>
    </i>
    <i>
      <x v="9"/>
    </i>
    <i>
      <x v="10"/>
    </i>
    <i>
      <x v="11"/>
    </i>
    <i>
      <x v="12"/>
    </i>
    <i t="grand">
      <x/>
    </i>
  </rowItems>
  <colFields count="1">
    <field x="7"/>
  </colFields>
  <colItems count="4">
    <i>
      <x v="1"/>
    </i>
    <i>
      <x v="2"/>
    </i>
    <i>
      <x v="3"/>
    </i>
    <i t="grand">
      <x/>
    </i>
  </colItems>
  <dataFields count="1">
    <dataField name="Average of Children in HHS Care" fld="4" subtotal="average" baseField="7" baseItem="1" numFmtId="164"/>
  </dataFields>
  <formats count="1">
    <format dxfId="7">
      <pivotArea outline="0" collapsedLevelsAreSubtotals="1" fieldPosition="0"/>
    </format>
  </formats>
  <chartFormats count="9">
    <chartFormat chart="0" format="0" series="1">
      <pivotArea type="data" outline="0" fieldPosition="0">
        <references count="2">
          <reference field="4294967294" count="1" selected="0">
            <x v="0"/>
          </reference>
          <reference field="7" count="1" selected="0">
            <x v="1"/>
          </reference>
        </references>
      </pivotArea>
    </chartFormat>
    <chartFormat chart="0" format="1" series="1">
      <pivotArea type="data" outline="0" fieldPosition="0">
        <references count="2">
          <reference field="4294967294" count="1" selected="0">
            <x v="0"/>
          </reference>
          <reference field="7" count="1" selected="0">
            <x v="2"/>
          </reference>
        </references>
      </pivotArea>
    </chartFormat>
    <chartFormat chart="0" format="2" series="1">
      <pivotArea type="data" outline="0" fieldPosition="0">
        <references count="2">
          <reference field="4294967294" count="1" selected="0">
            <x v="0"/>
          </reference>
          <reference field="7" count="1" selected="0">
            <x v="3"/>
          </reference>
        </references>
      </pivotArea>
    </chartFormat>
    <chartFormat chart="6" format="6" series="1">
      <pivotArea type="data" outline="0" fieldPosition="0">
        <references count="2">
          <reference field="4294967294" count="1" selected="0">
            <x v="0"/>
          </reference>
          <reference field="7" count="1" selected="0">
            <x v="1"/>
          </reference>
        </references>
      </pivotArea>
    </chartFormat>
    <chartFormat chart="6" format="7" series="1">
      <pivotArea type="data" outline="0" fieldPosition="0">
        <references count="2">
          <reference field="4294967294" count="1" selected="0">
            <x v="0"/>
          </reference>
          <reference field="7" count="1" selected="0">
            <x v="2"/>
          </reference>
        </references>
      </pivotArea>
    </chartFormat>
    <chartFormat chart="6" format="8" series="1">
      <pivotArea type="data" outline="0" fieldPosition="0">
        <references count="2">
          <reference field="4294967294" count="1" selected="0">
            <x v="0"/>
          </reference>
          <reference field="7" count="1" selected="0">
            <x v="3"/>
          </reference>
        </references>
      </pivotArea>
    </chartFormat>
    <chartFormat chart="9" format="6" series="1">
      <pivotArea type="data" outline="0" fieldPosition="0">
        <references count="2">
          <reference field="4294967294" count="1" selected="0">
            <x v="0"/>
          </reference>
          <reference field="7" count="1" selected="0">
            <x v="1"/>
          </reference>
        </references>
      </pivotArea>
    </chartFormat>
    <chartFormat chart="9" format="7" series="1">
      <pivotArea type="data" outline="0" fieldPosition="0">
        <references count="2">
          <reference field="4294967294" count="1" selected="0">
            <x v="0"/>
          </reference>
          <reference field="7" count="1" selected="0">
            <x v="2"/>
          </reference>
        </references>
      </pivotArea>
    </chartFormat>
    <chartFormat chart="9" format="8" series="1">
      <pivotArea type="data" outline="0" fieldPosition="0">
        <references count="2">
          <reference field="4294967294" count="1" selected="0">
            <x v="0"/>
          </reference>
          <reference field="7" count="1" selected="0">
            <x v="3"/>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2F2E9B-9F4D-46E9-99FB-252DFB8714BA}" name="PivotTable4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C38:K53" firstHeaderRow="1" firstDataRow="3" firstDataCol="1"/>
  <pivotFields count="8">
    <pivotField numFmtId="14" showAll="0">
      <items count="709">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76"/>
        <item x="75"/>
        <item x="74"/>
        <item x="73"/>
        <item x="140"/>
        <item x="139"/>
        <item x="72"/>
        <item x="71"/>
        <item x="70"/>
        <item x="69"/>
        <item x="68"/>
        <item x="138"/>
        <item x="137"/>
        <item x="67"/>
        <item x="66"/>
        <item x="65"/>
        <item x="64"/>
        <item x="63"/>
        <item x="136"/>
        <item x="62"/>
        <item x="61"/>
        <item x="60"/>
        <item x="59"/>
        <item x="58"/>
        <item x="135"/>
        <item x="57"/>
        <item x="56"/>
        <item x="5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pivotField showAll="0"/>
    <pivotField dataField="1" showAll="0"/>
    <pivotField showAll="0"/>
    <pivotField axis="axisRow" showAll="0" defaultSubtotal="0">
      <items count="14">
        <item x="0"/>
        <item x="1"/>
        <item x="2"/>
        <item x="3"/>
        <item x="4"/>
        <item x="5"/>
        <item x="6"/>
        <item x="7"/>
        <item x="8"/>
        <item x="9"/>
        <item x="10"/>
        <item x="11"/>
        <item x="12"/>
        <item x="13"/>
      </items>
    </pivotField>
    <pivotField axis="axisCol" showAll="0" defaultSubtotal="0">
      <items count="5">
        <item x="0"/>
        <item x="1"/>
        <item x="2"/>
        <item x="3"/>
        <item x="4"/>
      </items>
    </pivotField>
  </pivotFields>
  <rowFields count="1">
    <field x="6"/>
  </rowFields>
  <rowItems count="13">
    <i>
      <x v="1"/>
    </i>
    <i>
      <x v="2"/>
    </i>
    <i>
      <x v="3"/>
    </i>
    <i>
      <x v="4"/>
    </i>
    <i>
      <x v="5"/>
    </i>
    <i>
      <x v="6"/>
    </i>
    <i>
      <x v="7"/>
    </i>
    <i>
      <x v="8"/>
    </i>
    <i>
      <x v="9"/>
    </i>
    <i>
      <x v="10"/>
    </i>
    <i>
      <x v="11"/>
    </i>
    <i>
      <x v="12"/>
    </i>
    <i t="grand">
      <x/>
    </i>
  </rowItems>
  <colFields count="2">
    <field x="-2"/>
    <field x="7"/>
  </colFields>
  <colItems count="8">
    <i>
      <x/>
      <x v="1"/>
    </i>
    <i r="1">
      <x v="2"/>
    </i>
    <i r="1">
      <x v="3"/>
    </i>
    <i i="1">
      <x v="1"/>
      <x v="1"/>
    </i>
    <i r="1" i="1">
      <x v="2"/>
    </i>
    <i r="1" i="1">
      <x v="3"/>
    </i>
    <i t="grand">
      <x/>
    </i>
    <i t="grand" i="1">
      <x/>
    </i>
  </colItems>
  <dataFields count="2">
    <dataField name="Average of Children in CBP custody" fld="2" subtotal="average" baseField="7" baseItem="1" numFmtId="2"/>
    <dataField name="Average of Children in HHS Care" fld="4" subtotal="average" baseField="7" baseItem="1" numFmtId="2"/>
  </dataFields>
  <formats count="1">
    <format dxfId="8">
      <pivotArea type="all" dataOnly="0" outline="0" fieldPosition="0"/>
    </format>
  </formats>
  <chartFormats count="40">
    <chartFormat chart="0" format="0" series="1">
      <pivotArea type="data" outline="0" fieldPosition="0">
        <references count="2">
          <reference field="4294967294" count="1" selected="0">
            <x v="0"/>
          </reference>
          <reference field="7" count="1" selected="0">
            <x v="1"/>
          </reference>
        </references>
      </pivotArea>
    </chartFormat>
    <chartFormat chart="0" format="1" series="1">
      <pivotArea type="data" outline="0" fieldPosition="0">
        <references count="2">
          <reference field="4294967294" count="1" selected="0">
            <x v="0"/>
          </reference>
          <reference field="7" count="1" selected="0">
            <x v="2"/>
          </reference>
        </references>
      </pivotArea>
    </chartFormat>
    <chartFormat chart="0" format="2" series="1">
      <pivotArea type="data" outline="0" fieldPosition="0">
        <references count="2">
          <reference field="4294967294" count="1" selected="0">
            <x v="0"/>
          </reference>
          <reference field="7" count="1" selected="0">
            <x v="3"/>
          </reference>
        </references>
      </pivotArea>
    </chartFormat>
    <chartFormat chart="0" format="3" series="1">
      <pivotArea type="data" outline="0" fieldPosition="0">
        <references count="2">
          <reference field="4294967294" count="1" selected="0">
            <x v="1"/>
          </reference>
          <reference field="7" count="1" selected="0">
            <x v="1"/>
          </reference>
        </references>
      </pivotArea>
    </chartFormat>
    <chartFormat chart="0" format="4" series="1">
      <pivotArea type="data" outline="0" fieldPosition="0">
        <references count="2">
          <reference field="4294967294" count="1" selected="0">
            <x v="1"/>
          </reference>
          <reference field="7" count="1" selected="0">
            <x v="2"/>
          </reference>
        </references>
      </pivotArea>
    </chartFormat>
    <chartFormat chart="0" format="5" series="1">
      <pivotArea type="data" outline="0" fieldPosition="0">
        <references count="2">
          <reference field="4294967294" count="1" selected="0">
            <x v="1"/>
          </reference>
          <reference field="7" count="1" selected="0">
            <x v="3"/>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2">
          <reference field="4294967294" count="1" selected="0">
            <x v="0"/>
          </reference>
          <reference field="6" count="1" selected="0">
            <x v="3"/>
          </reference>
        </references>
      </pivotArea>
    </chartFormat>
    <chartFormat chart="0" format="9" series="1">
      <pivotArea type="data" outline="0" fieldPosition="0">
        <references count="2">
          <reference field="4294967294" count="1" selected="0">
            <x v="0"/>
          </reference>
          <reference field="6" count="1" selected="0">
            <x v="4"/>
          </reference>
        </references>
      </pivotArea>
    </chartFormat>
    <chartFormat chart="0" format="10" series="1">
      <pivotArea type="data" outline="0" fieldPosition="0">
        <references count="2">
          <reference field="4294967294" count="1" selected="0">
            <x v="0"/>
          </reference>
          <reference field="6" count="1" selected="0">
            <x v="5"/>
          </reference>
        </references>
      </pivotArea>
    </chartFormat>
    <chartFormat chart="0" format="11" series="1">
      <pivotArea type="data" outline="0" fieldPosition="0">
        <references count="2">
          <reference field="4294967294" count="1" selected="0">
            <x v="0"/>
          </reference>
          <reference field="6" count="1" selected="0">
            <x v="6"/>
          </reference>
        </references>
      </pivotArea>
    </chartFormat>
    <chartFormat chart="0" format="12" series="1">
      <pivotArea type="data" outline="0" fieldPosition="0">
        <references count="2">
          <reference field="4294967294" count="1" selected="0">
            <x v="0"/>
          </reference>
          <reference field="6" count="1" selected="0">
            <x v="7"/>
          </reference>
        </references>
      </pivotArea>
    </chartFormat>
    <chartFormat chart="0" format="13" series="1">
      <pivotArea type="data" outline="0" fieldPosition="0">
        <references count="2">
          <reference field="4294967294" count="1" selected="0">
            <x v="0"/>
          </reference>
          <reference field="6" count="1" selected="0">
            <x v="8"/>
          </reference>
        </references>
      </pivotArea>
    </chartFormat>
    <chartFormat chart="0" format="14" series="1">
      <pivotArea type="data" outline="0" fieldPosition="0">
        <references count="2">
          <reference field="4294967294" count="1" selected="0">
            <x v="0"/>
          </reference>
          <reference field="6" count="1" selected="0">
            <x v="9"/>
          </reference>
        </references>
      </pivotArea>
    </chartFormat>
    <chartFormat chart="0" format="15" series="1">
      <pivotArea type="data" outline="0" fieldPosition="0">
        <references count="2">
          <reference field="4294967294" count="1" selected="0">
            <x v="0"/>
          </reference>
          <reference field="6" count="1" selected="0">
            <x v="10"/>
          </reference>
        </references>
      </pivotArea>
    </chartFormat>
    <chartFormat chart="0" format="16" series="1">
      <pivotArea type="data" outline="0" fieldPosition="0">
        <references count="2">
          <reference field="4294967294" count="1" selected="0">
            <x v="0"/>
          </reference>
          <reference field="6" count="1" selected="0">
            <x v="11"/>
          </reference>
        </references>
      </pivotArea>
    </chartFormat>
    <chartFormat chart="0" format="17" series="1">
      <pivotArea type="data" outline="0" fieldPosition="0">
        <references count="2">
          <reference field="4294967294" count="1" selected="0">
            <x v="0"/>
          </reference>
          <reference field="6" count="1" selected="0">
            <x v="12"/>
          </reference>
        </references>
      </pivotArea>
    </chartFormat>
    <chartFormat chart="0" format="18" series="1">
      <pivotArea type="data" outline="0" fieldPosition="0">
        <references count="2">
          <reference field="4294967294" count="1" selected="0">
            <x v="1"/>
          </reference>
          <reference field="6" count="1" selected="0">
            <x v="1"/>
          </reference>
        </references>
      </pivotArea>
    </chartFormat>
    <chartFormat chart="0" format="19" series="1">
      <pivotArea type="data" outline="0" fieldPosition="0">
        <references count="2">
          <reference field="4294967294" count="1" selected="0">
            <x v="1"/>
          </reference>
          <reference field="6" count="1" selected="0">
            <x v="2"/>
          </reference>
        </references>
      </pivotArea>
    </chartFormat>
    <chartFormat chart="0" format="20" series="1">
      <pivotArea type="data" outline="0" fieldPosition="0">
        <references count="2">
          <reference field="4294967294" count="1" selected="0">
            <x v="1"/>
          </reference>
          <reference field="6" count="1" selected="0">
            <x v="3"/>
          </reference>
        </references>
      </pivotArea>
    </chartFormat>
    <chartFormat chart="0" format="21" series="1">
      <pivotArea type="data" outline="0" fieldPosition="0">
        <references count="2">
          <reference field="4294967294" count="1" selected="0">
            <x v="1"/>
          </reference>
          <reference field="6" count="1" selected="0">
            <x v="4"/>
          </reference>
        </references>
      </pivotArea>
    </chartFormat>
    <chartFormat chart="0" format="22" series="1">
      <pivotArea type="data" outline="0" fieldPosition="0">
        <references count="2">
          <reference field="4294967294" count="1" selected="0">
            <x v="1"/>
          </reference>
          <reference field="6" count="1" selected="0">
            <x v="5"/>
          </reference>
        </references>
      </pivotArea>
    </chartFormat>
    <chartFormat chart="0" format="23" series="1">
      <pivotArea type="data" outline="0" fieldPosition="0">
        <references count="2">
          <reference field="4294967294" count="1" selected="0">
            <x v="1"/>
          </reference>
          <reference field="6" count="1" selected="0">
            <x v="6"/>
          </reference>
        </references>
      </pivotArea>
    </chartFormat>
    <chartFormat chart="0" format="24" series="1">
      <pivotArea type="data" outline="0" fieldPosition="0">
        <references count="2">
          <reference field="4294967294" count="1" selected="0">
            <x v="1"/>
          </reference>
          <reference field="6" count="1" selected="0">
            <x v="7"/>
          </reference>
        </references>
      </pivotArea>
    </chartFormat>
    <chartFormat chart="0" format="25" series="1">
      <pivotArea type="data" outline="0" fieldPosition="0">
        <references count="2">
          <reference field="4294967294" count="1" selected="0">
            <x v="1"/>
          </reference>
          <reference field="6" count="1" selected="0">
            <x v="8"/>
          </reference>
        </references>
      </pivotArea>
    </chartFormat>
    <chartFormat chart="0" format="26" series="1">
      <pivotArea type="data" outline="0" fieldPosition="0">
        <references count="2">
          <reference field="4294967294" count="1" selected="0">
            <x v="1"/>
          </reference>
          <reference field="6" count="1" selected="0">
            <x v="9"/>
          </reference>
        </references>
      </pivotArea>
    </chartFormat>
    <chartFormat chart="0" format="27" series="1">
      <pivotArea type="data" outline="0" fieldPosition="0">
        <references count="2">
          <reference field="4294967294" count="1" selected="0">
            <x v="1"/>
          </reference>
          <reference field="6" count="1" selected="0">
            <x v="10"/>
          </reference>
        </references>
      </pivotArea>
    </chartFormat>
    <chartFormat chart="0" format="28" series="1">
      <pivotArea type="data" outline="0" fieldPosition="0">
        <references count="2">
          <reference field="4294967294" count="1" selected="0">
            <x v="1"/>
          </reference>
          <reference field="6" count="1" selected="0">
            <x v="11"/>
          </reference>
        </references>
      </pivotArea>
    </chartFormat>
    <chartFormat chart="0" format="29" series="1">
      <pivotArea type="data" outline="0" fieldPosition="0">
        <references count="2">
          <reference field="4294967294" count="1" selected="0">
            <x v="1"/>
          </reference>
          <reference field="6" count="1" selected="0">
            <x v="12"/>
          </reference>
        </references>
      </pivotArea>
    </chartFormat>
    <chartFormat chart="0" format="30" series="1">
      <pivotArea type="data" outline="0" fieldPosition="0">
        <references count="2">
          <reference field="4294967294" count="1" selected="0">
            <x v="0"/>
          </reference>
          <reference field="6" count="1" selected="0">
            <x v="1"/>
          </reference>
        </references>
      </pivotArea>
    </chartFormat>
    <chartFormat chart="0" format="31" series="1">
      <pivotArea type="data" outline="0" fieldPosition="0">
        <references count="2">
          <reference field="4294967294" count="1" selected="0">
            <x v="0"/>
          </reference>
          <reference field="6" count="1" selected="0">
            <x v="2"/>
          </reference>
        </references>
      </pivotArea>
    </chartFormat>
    <chartFormat chart="6" format="12" series="1">
      <pivotArea type="data" outline="0" fieldPosition="0">
        <references count="2">
          <reference field="4294967294" count="1" selected="0">
            <x v="0"/>
          </reference>
          <reference field="7" count="1" selected="0">
            <x v="1"/>
          </reference>
        </references>
      </pivotArea>
    </chartFormat>
    <chartFormat chart="6" format="13" series="1">
      <pivotArea type="data" outline="0" fieldPosition="0">
        <references count="2">
          <reference field="4294967294" count="1" selected="0">
            <x v="0"/>
          </reference>
          <reference field="7" count="1" selected="0">
            <x v="2"/>
          </reference>
        </references>
      </pivotArea>
    </chartFormat>
    <chartFormat chart="6" format="14" series="1">
      <pivotArea type="data" outline="0" fieldPosition="0">
        <references count="2">
          <reference field="4294967294" count="1" selected="0">
            <x v="0"/>
          </reference>
          <reference field="7" count="1" selected="0">
            <x v="3"/>
          </reference>
        </references>
      </pivotArea>
    </chartFormat>
    <chartFormat chart="6" format="15" series="1">
      <pivotArea type="data" outline="0" fieldPosition="0">
        <references count="2">
          <reference field="4294967294" count="1" selected="0">
            <x v="1"/>
          </reference>
          <reference field="7" count="1" selected="0">
            <x v="1"/>
          </reference>
        </references>
      </pivotArea>
    </chartFormat>
    <chartFormat chart="6" format="16" series="1">
      <pivotArea type="data" outline="0" fieldPosition="0">
        <references count="2">
          <reference field="4294967294" count="1" selected="0">
            <x v="1"/>
          </reference>
          <reference field="7" count="1" selected="0">
            <x v="2"/>
          </reference>
        </references>
      </pivotArea>
    </chartFormat>
    <chartFormat chart="6" format="17" series="1">
      <pivotArea type="data" outline="0" fieldPosition="0">
        <references count="2">
          <reference field="4294967294" count="1" selected="0">
            <x v="1"/>
          </reference>
          <reference field="7" count="1" selected="0">
            <x v="3"/>
          </reference>
        </references>
      </pivotArea>
    </chartFormat>
    <chartFormat chart="6" format="18" series="1">
      <pivotArea type="data" grandCol="1" outline="0" fieldPosition="0">
        <references count="1">
          <reference field="4294967294" count="1" selected="0">
            <x v="0"/>
          </reference>
        </references>
      </pivotArea>
    </chartFormat>
    <chartFormat chart="6" format="19" series="1">
      <pivotArea type="data" grandCol="1" outline="0" fieldPosition="0">
        <references count="1">
          <reference field="4294967294" count="1" selected="0">
            <x v="1"/>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F5BE82-D1B4-4358-8A33-51AE472DB141}" name="PivotTable39"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location ref="H4:L18" firstHeaderRow="1" firstDataRow="2" firstDataCol="1"/>
  <pivotFields count="8">
    <pivotField numFmtId="14" showAll="0">
      <items count="709">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76"/>
        <item x="75"/>
        <item x="74"/>
        <item x="73"/>
        <item x="140"/>
        <item x="139"/>
        <item x="72"/>
        <item x="71"/>
        <item x="70"/>
        <item x="69"/>
        <item x="68"/>
        <item x="138"/>
        <item x="137"/>
        <item x="67"/>
        <item x="66"/>
        <item x="65"/>
        <item x="64"/>
        <item x="63"/>
        <item x="136"/>
        <item x="62"/>
        <item x="61"/>
        <item x="60"/>
        <item x="59"/>
        <item x="58"/>
        <item x="135"/>
        <item x="57"/>
        <item x="56"/>
        <item x="5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5">
        <item sd="0" x="0"/>
        <item sd="0" x="1"/>
        <item sd="0" x="2"/>
        <item sd="0" x="3"/>
        <item sd="0" x="4"/>
      </items>
    </pivotField>
  </pivotFields>
  <rowFields count="1">
    <field x="6"/>
  </rowFields>
  <rowItems count="13">
    <i>
      <x v="1"/>
    </i>
    <i>
      <x v="2"/>
    </i>
    <i>
      <x v="3"/>
    </i>
    <i>
      <x v="4"/>
    </i>
    <i>
      <x v="5"/>
    </i>
    <i>
      <x v="6"/>
    </i>
    <i>
      <x v="7"/>
    </i>
    <i>
      <x v="8"/>
    </i>
    <i>
      <x v="9"/>
    </i>
    <i>
      <x v="10"/>
    </i>
    <i>
      <x v="11"/>
    </i>
    <i>
      <x v="12"/>
    </i>
    <i t="grand">
      <x/>
    </i>
  </rowItems>
  <colFields count="1">
    <field x="7"/>
  </colFields>
  <colItems count="4">
    <i>
      <x v="1"/>
    </i>
    <i>
      <x v="2"/>
    </i>
    <i>
      <x v="3"/>
    </i>
    <i t="grand">
      <x/>
    </i>
  </colItems>
  <dataFields count="1">
    <dataField name="Average of Children in CBP custody" fld="2" subtotal="average" baseField="7" baseItem="1" numFmtId="2"/>
  </dataFields>
  <formats count="1">
    <format dxfId="9">
      <pivotArea outline="0" collapsedLevelsAreSubtotals="1" fieldPosition="0"/>
    </format>
  </formats>
  <chartFormats count="9">
    <chartFormat chart="0" format="0" series="1">
      <pivotArea type="data" outline="0" fieldPosition="0">
        <references count="2">
          <reference field="4294967294" count="1" selected="0">
            <x v="0"/>
          </reference>
          <reference field="7" count="1" selected="0">
            <x v="1"/>
          </reference>
        </references>
      </pivotArea>
    </chartFormat>
    <chartFormat chart="0" format="1" series="1">
      <pivotArea type="data" outline="0" fieldPosition="0">
        <references count="2">
          <reference field="4294967294" count="1" selected="0">
            <x v="0"/>
          </reference>
          <reference field="7" count="1" selected="0">
            <x v="2"/>
          </reference>
        </references>
      </pivotArea>
    </chartFormat>
    <chartFormat chart="0" format="2" series="1">
      <pivotArea type="data" outline="0" fieldPosition="0">
        <references count="2">
          <reference field="4294967294" count="1" selected="0">
            <x v="0"/>
          </reference>
          <reference field="7" count="1" selected="0">
            <x v="3"/>
          </reference>
        </references>
      </pivotArea>
    </chartFormat>
    <chartFormat chart="2" format="6" series="1">
      <pivotArea type="data" outline="0" fieldPosition="0">
        <references count="2">
          <reference field="4294967294" count="1" selected="0">
            <x v="0"/>
          </reference>
          <reference field="7" count="1" selected="0">
            <x v="1"/>
          </reference>
        </references>
      </pivotArea>
    </chartFormat>
    <chartFormat chart="2" format="7" series="1">
      <pivotArea type="data" outline="0" fieldPosition="0">
        <references count="2">
          <reference field="4294967294" count="1" selected="0">
            <x v="0"/>
          </reference>
          <reference field="7" count="1" selected="0">
            <x v="2"/>
          </reference>
        </references>
      </pivotArea>
    </chartFormat>
    <chartFormat chart="2" format="8" series="1">
      <pivotArea type="data" outline="0" fieldPosition="0">
        <references count="2">
          <reference field="4294967294" count="1" selected="0">
            <x v="0"/>
          </reference>
          <reference field="7" count="1" selected="0">
            <x v="3"/>
          </reference>
        </references>
      </pivotArea>
    </chartFormat>
    <chartFormat chart="6" format="6" series="1">
      <pivotArea type="data" outline="0" fieldPosition="0">
        <references count="2">
          <reference field="4294967294" count="1" selected="0">
            <x v="0"/>
          </reference>
          <reference field="7" count="1" selected="0">
            <x v="1"/>
          </reference>
        </references>
      </pivotArea>
    </chartFormat>
    <chartFormat chart="6" format="7" series="1">
      <pivotArea type="data" outline="0" fieldPosition="0">
        <references count="2">
          <reference field="4294967294" count="1" selected="0">
            <x v="0"/>
          </reference>
          <reference field="7" count="1" selected="0">
            <x v="2"/>
          </reference>
        </references>
      </pivotArea>
    </chartFormat>
    <chartFormat chart="6" format="8" series="1">
      <pivotArea type="data" outline="0" fieldPosition="0">
        <references count="2">
          <reference field="4294967294" count="1" selected="0">
            <x v="0"/>
          </reference>
          <reference field="7" count="1" selected="0">
            <x v="3"/>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CD58A848-5ECF-41C2-B98E-B33C48575C56}" sourceName="Years (Date)">
  <pivotTables>
    <pivotTable tabId="8" name="PivotTable38"/>
    <pivotTable tabId="8" name="PivotTable33"/>
    <pivotTable tabId="8" name="PivotTable34"/>
    <pivotTable tabId="8" name="PivotTable35"/>
    <pivotTable tabId="8" name="PivotTable39"/>
    <pivotTable tabId="8" name="PivotTable41"/>
  </pivotTables>
  <data>
    <tabular pivotCacheId="151554777">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127CC60-F1B0-4FD3-9CBB-BD31EE866A68}" sourceName="Months (Date)">
  <pivotTables>
    <pivotTable tabId="8" name="PivotTable38"/>
    <pivotTable tabId="8" name="PivotTable33"/>
    <pivotTable tabId="8" name="PivotTable34"/>
    <pivotTable tabId="8" name="PivotTable35"/>
    <pivotTable tabId="8" name="PivotTable39"/>
    <pivotTable tabId="8" name="PivotTable41"/>
  </pivotTables>
  <data>
    <tabular pivotCacheId="15155477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FE736A7C-BDE1-4848-933B-416DEF7C0D90}" cache="Slicer_Years__Date" caption="Years (Date)" columnCount="5" style="SlicerStyleDark6" rowHeight="234950"/>
  <slicer name="Months (Date)" xr10:uid="{9C9F58A3-1BE3-406E-B472-DC5A0375B19D}" cache="Slicer_Months__Date" caption="Months (Date)" columnCount="14"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439AAA-F8C3-41F2-B781-D07108DD79F5}" name="Table1" displayName="Table1" ref="E10:I15" totalsRowShown="0" headerRowDxfId="6" dataDxfId="5">
  <autoFilter ref="E10:I15" xr:uid="{89439AAA-F8C3-41F2-B781-D07108DD79F5}"/>
  <tableColumns count="5">
    <tableColumn id="1" xr3:uid="{2254A13A-7889-4741-83FD-157787DD01F5}" name="HEALTHCARE METRICS" dataDxfId="4"/>
    <tableColumn id="2" xr3:uid="{5107E0B7-E034-484D-9303-03CCD2B648CF}" name="TOTAL" dataDxfId="3"/>
    <tableColumn id="3" xr3:uid="{53923B59-1E15-410A-BCF0-C60D038229F5}" name="AVERAGE" dataDxfId="2"/>
    <tableColumn id="4" xr3:uid="{F8DDB22D-C69A-44A6-A191-823FE2D4EFD1}" name="MAXIMUM" dataDxfId="1"/>
    <tableColumn id="5" xr3:uid="{58667F7B-AE5F-4F40-8FF8-E0BA20A7F037}" name="MINIMUM"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029E4B3-EE96-4501-A562-C6FF1242E952}" sourceName="Date">
  <pivotTables>
    <pivotTable tabId="8" name="PivotTable38"/>
    <pivotTable tabId="8" name="PivotTable33"/>
    <pivotTable tabId="8" name="PivotTable34"/>
    <pivotTable tabId="8" name="PivotTable35"/>
    <pivotTable tabId="8" name="PivotTable39"/>
    <pivotTable tabId="8" name="PivotTable41"/>
  </pivotTables>
  <state minimalRefreshVersion="6" lastRefreshVersion="6" pivotCacheId="151554777"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839AF24-5920-4014-99C0-DAE461553BDB}" cache="NativeTimeline_Date" caption="Date" level="2" selectionLevel="2" scrollPosition="2023-01-01T00:00:00" style="TimeSlicerStyleDark6"/>
</timeline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660EE-9443-4254-88AF-42E59A0C8318}">
  <dimension ref="A1:F721"/>
  <sheetViews>
    <sheetView workbookViewId="0">
      <selection activeCell="F1" sqref="F1:F1048576"/>
    </sheetView>
  </sheetViews>
  <sheetFormatPr defaultRowHeight="14.4" x14ac:dyDescent="0.3"/>
  <cols>
    <col min="1" max="1" width="17.33203125" bestFit="1" customWidth="1"/>
    <col min="2" max="2" width="42.21875" bestFit="1" customWidth="1"/>
    <col min="3" max="3" width="20.21875" bestFit="1" customWidth="1"/>
    <col min="4" max="4" width="33.77734375" bestFit="1" customWidth="1"/>
    <col min="5" max="5" width="17.77734375" bestFit="1" customWidth="1"/>
    <col min="6" max="6" width="29.77734375" bestFit="1" customWidth="1"/>
  </cols>
  <sheetData>
    <row r="1" spans="1:6" x14ac:dyDescent="0.3">
      <c r="A1" t="s">
        <v>0</v>
      </c>
      <c r="B1" t="s">
        <v>1</v>
      </c>
      <c r="C1" t="s">
        <v>2</v>
      </c>
      <c r="D1" t="s">
        <v>3</v>
      </c>
      <c r="E1" t="s">
        <v>4</v>
      </c>
      <c r="F1" t="s">
        <v>5</v>
      </c>
    </row>
    <row r="2" spans="1:6" x14ac:dyDescent="0.3">
      <c r="A2" t="s">
        <v>6</v>
      </c>
      <c r="B2">
        <v>6</v>
      </c>
      <c r="C2">
        <v>18</v>
      </c>
      <c r="D2">
        <v>11</v>
      </c>
      <c r="E2" s="1">
        <v>2484</v>
      </c>
      <c r="F2">
        <v>14</v>
      </c>
    </row>
    <row r="3" spans="1:6" x14ac:dyDescent="0.3">
      <c r="A3" t="s">
        <v>7</v>
      </c>
      <c r="B3">
        <v>11</v>
      </c>
      <c r="C3">
        <v>50</v>
      </c>
      <c r="D3">
        <v>6</v>
      </c>
      <c r="E3" s="1">
        <v>2472</v>
      </c>
      <c r="F3">
        <v>16</v>
      </c>
    </row>
    <row r="4" spans="1:6" x14ac:dyDescent="0.3">
      <c r="A4" t="s">
        <v>8</v>
      </c>
      <c r="B4">
        <v>7</v>
      </c>
      <c r="C4">
        <v>31</v>
      </c>
      <c r="D4">
        <v>11</v>
      </c>
      <c r="E4" s="1">
        <v>2481</v>
      </c>
      <c r="F4">
        <v>10</v>
      </c>
    </row>
    <row r="5" spans="1:6" x14ac:dyDescent="0.3">
      <c r="A5" t="s">
        <v>9</v>
      </c>
      <c r="B5">
        <v>8</v>
      </c>
      <c r="C5">
        <v>54</v>
      </c>
      <c r="D5">
        <v>15</v>
      </c>
      <c r="E5" s="1">
        <v>2468</v>
      </c>
      <c r="F5">
        <v>9</v>
      </c>
    </row>
    <row r="6" spans="1:6" x14ac:dyDescent="0.3">
      <c r="A6" t="s">
        <v>10</v>
      </c>
      <c r="B6">
        <v>11</v>
      </c>
      <c r="C6">
        <v>42</v>
      </c>
      <c r="D6">
        <v>9</v>
      </c>
      <c r="E6" s="1">
        <v>2470</v>
      </c>
      <c r="F6">
        <v>7</v>
      </c>
    </row>
    <row r="7" spans="1:6" x14ac:dyDescent="0.3">
      <c r="A7" t="s">
        <v>11</v>
      </c>
      <c r="B7">
        <v>8</v>
      </c>
      <c r="C7">
        <v>35</v>
      </c>
      <c r="D7">
        <v>4</v>
      </c>
      <c r="E7" s="1">
        <v>2462</v>
      </c>
      <c r="F7">
        <v>8</v>
      </c>
    </row>
    <row r="8" spans="1:6" x14ac:dyDescent="0.3">
      <c r="A8" t="s">
        <v>12</v>
      </c>
      <c r="B8">
        <v>7</v>
      </c>
      <c r="C8">
        <v>47</v>
      </c>
      <c r="D8">
        <v>9</v>
      </c>
      <c r="E8" s="1">
        <v>2437</v>
      </c>
      <c r="F8">
        <v>10</v>
      </c>
    </row>
    <row r="9" spans="1:6" x14ac:dyDescent="0.3">
      <c r="A9" t="s">
        <v>13</v>
      </c>
      <c r="B9">
        <v>10</v>
      </c>
      <c r="C9">
        <v>54</v>
      </c>
      <c r="D9">
        <v>5</v>
      </c>
      <c r="E9" s="1">
        <v>2439</v>
      </c>
      <c r="F9">
        <v>9</v>
      </c>
    </row>
    <row r="10" spans="1:6" x14ac:dyDescent="0.3">
      <c r="A10" t="s">
        <v>14</v>
      </c>
      <c r="B10">
        <v>4</v>
      </c>
      <c r="C10">
        <v>30</v>
      </c>
      <c r="D10">
        <v>7</v>
      </c>
      <c r="E10" s="1">
        <v>2443</v>
      </c>
      <c r="F10">
        <v>8</v>
      </c>
    </row>
    <row r="11" spans="1:6" x14ac:dyDescent="0.3">
      <c r="A11" t="s">
        <v>15</v>
      </c>
      <c r="B11">
        <v>9</v>
      </c>
      <c r="C11">
        <v>27</v>
      </c>
      <c r="D11">
        <v>9</v>
      </c>
      <c r="E11" s="1">
        <v>2440</v>
      </c>
      <c r="F11">
        <v>4</v>
      </c>
    </row>
    <row r="12" spans="1:6" x14ac:dyDescent="0.3">
      <c r="A12" t="s">
        <v>16</v>
      </c>
      <c r="B12">
        <v>4</v>
      </c>
      <c r="C12">
        <v>24</v>
      </c>
      <c r="D12">
        <v>13</v>
      </c>
      <c r="E12" s="1">
        <v>2429</v>
      </c>
      <c r="F12">
        <v>12</v>
      </c>
    </row>
    <row r="13" spans="1:6" x14ac:dyDescent="0.3">
      <c r="A13" t="s">
        <v>17</v>
      </c>
      <c r="B13">
        <v>16</v>
      </c>
      <c r="C13">
        <v>39</v>
      </c>
      <c r="D13">
        <v>7</v>
      </c>
      <c r="E13" s="1">
        <v>2418</v>
      </c>
      <c r="F13">
        <v>13</v>
      </c>
    </row>
    <row r="14" spans="1:6" x14ac:dyDescent="0.3">
      <c r="A14" t="s">
        <v>18</v>
      </c>
      <c r="B14">
        <v>4</v>
      </c>
      <c r="C14">
        <v>32</v>
      </c>
      <c r="D14">
        <v>8</v>
      </c>
      <c r="E14" s="1">
        <v>2419</v>
      </c>
      <c r="F14">
        <v>7</v>
      </c>
    </row>
    <row r="15" spans="1:6" x14ac:dyDescent="0.3">
      <c r="A15" t="s">
        <v>19</v>
      </c>
      <c r="B15">
        <v>7</v>
      </c>
      <c r="C15">
        <v>34</v>
      </c>
      <c r="D15">
        <v>6</v>
      </c>
      <c r="E15" s="1">
        <v>2407</v>
      </c>
      <c r="F15">
        <v>8</v>
      </c>
    </row>
    <row r="16" spans="1:6" x14ac:dyDescent="0.3">
      <c r="A16" t="s">
        <v>20</v>
      </c>
      <c r="B16">
        <v>4</v>
      </c>
      <c r="C16">
        <v>26</v>
      </c>
      <c r="D16">
        <v>4</v>
      </c>
      <c r="E16" s="1">
        <v>2410</v>
      </c>
      <c r="F16">
        <v>9</v>
      </c>
    </row>
    <row r="17" spans="1:6" x14ac:dyDescent="0.3">
      <c r="A17" t="s">
        <v>21</v>
      </c>
      <c r="B17">
        <v>4</v>
      </c>
      <c r="C17">
        <v>18</v>
      </c>
      <c r="D17">
        <v>10</v>
      </c>
      <c r="E17" s="1">
        <v>2415</v>
      </c>
      <c r="F17">
        <v>0</v>
      </c>
    </row>
    <row r="18" spans="1:6" x14ac:dyDescent="0.3">
      <c r="A18" t="s">
        <v>22</v>
      </c>
      <c r="B18">
        <v>4</v>
      </c>
      <c r="C18">
        <v>24</v>
      </c>
      <c r="D18">
        <v>8</v>
      </c>
      <c r="E18" s="1">
        <v>2389</v>
      </c>
      <c r="F18">
        <v>7</v>
      </c>
    </row>
    <row r="19" spans="1:6" x14ac:dyDescent="0.3">
      <c r="A19" t="s">
        <v>23</v>
      </c>
      <c r="B19">
        <v>6</v>
      </c>
      <c r="C19">
        <v>47</v>
      </c>
      <c r="D19">
        <v>14</v>
      </c>
      <c r="E19" s="1">
        <v>2375</v>
      </c>
      <c r="F19">
        <v>11</v>
      </c>
    </row>
    <row r="20" spans="1:6" x14ac:dyDescent="0.3">
      <c r="A20" t="s">
        <v>24</v>
      </c>
      <c r="B20">
        <v>9</v>
      </c>
      <c r="C20">
        <v>40</v>
      </c>
      <c r="D20">
        <v>9</v>
      </c>
      <c r="E20" s="1">
        <v>2371</v>
      </c>
      <c r="F20">
        <v>13</v>
      </c>
    </row>
    <row r="21" spans="1:6" x14ac:dyDescent="0.3">
      <c r="A21" t="s">
        <v>25</v>
      </c>
      <c r="B21">
        <v>3</v>
      </c>
      <c r="C21">
        <v>46</v>
      </c>
      <c r="D21">
        <v>22</v>
      </c>
      <c r="E21" s="1">
        <v>2375</v>
      </c>
      <c r="F21">
        <v>1</v>
      </c>
    </row>
    <row r="22" spans="1:6" x14ac:dyDescent="0.3">
      <c r="A22" t="s">
        <v>26</v>
      </c>
      <c r="B22">
        <v>18</v>
      </c>
      <c r="C22">
        <v>57</v>
      </c>
      <c r="D22">
        <v>8</v>
      </c>
      <c r="E22" s="1">
        <v>2340</v>
      </c>
      <c r="F22">
        <v>9</v>
      </c>
    </row>
    <row r="23" spans="1:6" x14ac:dyDescent="0.3">
      <c r="A23" t="s">
        <v>27</v>
      </c>
      <c r="B23">
        <v>7</v>
      </c>
      <c r="C23">
        <v>32</v>
      </c>
      <c r="D23">
        <v>3</v>
      </c>
      <c r="E23" s="1">
        <v>2340</v>
      </c>
      <c r="F23">
        <v>10</v>
      </c>
    </row>
    <row r="24" spans="1:6" x14ac:dyDescent="0.3">
      <c r="A24" t="s">
        <v>28</v>
      </c>
      <c r="B24">
        <v>2</v>
      </c>
      <c r="C24">
        <v>38</v>
      </c>
      <c r="D24">
        <v>8</v>
      </c>
      <c r="E24" s="1">
        <v>2345</v>
      </c>
      <c r="F24">
        <v>12</v>
      </c>
    </row>
    <row r="25" spans="1:6" x14ac:dyDescent="0.3">
      <c r="A25" t="s">
        <v>29</v>
      </c>
      <c r="B25">
        <v>1</v>
      </c>
      <c r="C25">
        <v>35</v>
      </c>
      <c r="D25">
        <v>6</v>
      </c>
      <c r="E25" s="1">
        <v>2343</v>
      </c>
      <c r="F25">
        <v>8</v>
      </c>
    </row>
    <row r="26" spans="1:6" x14ac:dyDescent="0.3">
      <c r="A26" t="s">
        <v>30</v>
      </c>
      <c r="B26">
        <v>5</v>
      </c>
      <c r="C26">
        <v>22</v>
      </c>
      <c r="D26">
        <v>3</v>
      </c>
      <c r="E26" s="1">
        <v>2340</v>
      </c>
      <c r="F26">
        <v>5</v>
      </c>
    </row>
    <row r="27" spans="1:6" x14ac:dyDescent="0.3">
      <c r="A27" t="s">
        <v>31</v>
      </c>
      <c r="B27">
        <v>6</v>
      </c>
      <c r="C27">
        <v>26</v>
      </c>
      <c r="D27">
        <v>16</v>
      </c>
      <c r="E27" s="1">
        <v>2317</v>
      </c>
      <c r="F27">
        <v>5</v>
      </c>
    </row>
    <row r="28" spans="1:6" x14ac:dyDescent="0.3">
      <c r="A28" t="s">
        <v>32</v>
      </c>
      <c r="B28">
        <v>14</v>
      </c>
      <c r="C28">
        <v>48</v>
      </c>
      <c r="D28">
        <v>20</v>
      </c>
      <c r="E28" s="1">
        <v>2302</v>
      </c>
      <c r="F28">
        <v>7</v>
      </c>
    </row>
    <row r="29" spans="1:6" x14ac:dyDescent="0.3">
      <c r="A29" t="s">
        <v>33</v>
      </c>
      <c r="B29">
        <v>11</v>
      </c>
      <c r="C29">
        <v>39</v>
      </c>
      <c r="D29">
        <v>12</v>
      </c>
      <c r="E29" s="1">
        <v>2294</v>
      </c>
      <c r="F29">
        <v>14</v>
      </c>
    </row>
    <row r="30" spans="1:6" x14ac:dyDescent="0.3">
      <c r="A30" t="s">
        <v>34</v>
      </c>
      <c r="B30">
        <v>11</v>
      </c>
      <c r="C30">
        <v>33</v>
      </c>
      <c r="D30">
        <v>5</v>
      </c>
      <c r="E30" s="1">
        <v>2294</v>
      </c>
      <c r="F30">
        <v>4</v>
      </c>
    </row>
    <row r="31" spans="1:6" x14ac:dyDescent="0.3">
      <c r="A31" t="s">
        <v>35</v>
      </c>
      <c r="B31">
        <v>6</v>
      </c>
      <c r="C31">
        <v>33</v>
      </c>
      <c r="D31">
        <v>9</v>
      </c>
      <c r="E31" s="1">
        <v>2264</v>
      </c>
      <c r="F31">
        <v>19</v>
      </c>
    </row>
    <row r="32" spans="1:6" x14ac:dyDescent="0.3">
      <c r="A32" t="s">
        <v>36</v>
      </c>
      <c r="B32">
        <v>8</v>
      </c>
      <c r="C32">
        <v>41</v>
      </c>
      <c r="D32">
        <v>8</v>
      </c>
      <c r="E32" s="1">
        <v>2272</v>
      </c>
      <c r="F32">
        <v>7</v>
      </c>
    </row>
    <row r="33" spans="1:6" x14ac:dyDescent="0.3">
      <c r="A33" t="s">
        <v>37</v>
      </c>
      <c r="B33">
        <v>6</v>
      </c>
      <c r="C33">
        <v>33</v>
      </c>
      <c r="D33">
        <v>6</v>
      </c>
      <c r="E33" s="1">
        <v>2270</v>
      </c>
      <c r="F33">
        <v>8</v>
      </c>
    </row>
    <row r="34" spans="1:6" x14ac:dyDescent="0.3">
      <c r="A34" t="s">
        <v>38</v>
      </c>
      <c r="B34">
        <v>3</v>
      </c>
      <c r="C34">
        <v>28</v>
      </c>
      <c r="D34">
        <v>5</v>
      </c>
      <c r="E34" s="1">
        <v>2269</v>
      </c>
      <c r="F34">
        <v>12</v>
      </c>
    </row>
    <row r="35" spans="1:6" x14ac:dyDescent="0.3">
      <c r="A35" t="s">
        <v>39</v>
      </c>
      <c r="B35">
        <v>5</v>
      </c>
      <c r="C35">
        <v>21</v>
      </c>
      <c r="D35">
        <v>10</v>
      </c>
      <c r="E35" s="1">
        <v>2277</v>
      </c>
      <c r="F35">
        <v>7</v>
      </c>
    </row>
    <row r="36" spans="1:6" x14ac:dyDescent="0.3">
      <c r="A36" t="s">
        <v>40</v>
      </c>
      <c r="B36">
        <v>3</v>
      </c>
      <c r="C36">
        <v>17</v>
      </c>
      <c r="D36">
        <v>14</v>
      </c>
      <c r="E36" s="1">
        <v>2287</v>
      </c>
      <c r="F36">
        <v>12</v>
      </c>
    </row>
    <row r="37" spans="1:6" x14ac:dyDescent="0.3">
      <c r="A37" t="s">
        <v>41</v>
      </c>
      <c r="B37">
        <v>6</v>
      </c>
      <c r="C37">
        <v>25</v>
      </c>
      <c r="D37">
        <v>4</v>
      </c>
      <c r="E37" s="1">
        <v>2280</v>
      </c>
      <c r="F37">
        <v>17</v>
      </c>
    </row>
    <row r="38" spans="1:6" x14ac:dyDescent="0.3">
      <c r="A38" t="s">
        <v>42</v>
      </c>
      <c r="B38">
        <v>6</v>
      </c>
      <c r="C38">
        <v>22</v>
      </c>
      <c r="D38">
        <v>11</v>
      </c>
      <c r="E38" s="1">
        <v>2286</v>
      </c>
      <c r="F38">
        <v>6</v>
      </c>
    </row>
    <row r="39" spans="1:6" x14ac:dyDescent="0.3">
      <c r="A39" t="s">
        <v>43</v>
      </c>
      <c r="B39">
        <v>2</v>
      </c>
      <c r="C39">
        <v>31</v>
      </c>
      <c r="D39">
        <v>8</v>
      </c>
      <c r="E39" s="1">
        <v>2282</v>
      </c>
      <c r="F39">
        <v>11</v>
      </c>
    </row>
    <row r="40" spans="1:6" x14ac:dyDescent="0.3">
      <c r="A40" t="s">
        <v>44</v>
      </c>
      <c r="B40">
        <v>4</v>
      </c>
      <c r="C40">
        <v>35</v>
      </c>
      <c r="D40">
        <v>12</v>
      </c>
      <c r="E40" s="1">
        <v>2276</v>
      </c>
      <c r="F40">
        <v>10</v>
      </c>
    </row>
    <row r="41" spans="1:6" x14ac:dyDescent="0.3">
      <c r="A41" t="s">
        <v>45</v>
      </c>
      <c r="B41">
        <v>4</v>
      </c>
      <c r="C41">
        <v>27</v>
      </c>
      <c r="D41">
        <v>26</v>
      </c>
      <c r="E41" s="1">
        <v>2266</v>
      </c>
      <c r="F41">
        <v>18</v>
      </c>
    </row>
    <row r="42" spans="1:6" x14ac:dyDescent="0.3">
      <c r="A42" t="s">
        <v>46</v>
      </c>
      <c r="B42">
        <v>12</v>
      </c>
      <c r="C42">
        <v>42</v>
      </c>
      <c r="D42">
        <v>13</v>
      </c>
      <c r="E42" s="1">
        <v>2261</v>
      </c>
      <c r="F42">
        <v>12</v>
      </c>
    </row>
    <row r="43" spans="1:6" x14ac:dyDescent="0.3">
      <c r="A43" t="s">
        <v>47</v>
      </c>
      <c r="B43">
        <v>13</v>
      </c>
      <c r="C43">
        <v>39</v>
      </c>
      <c r="D43">
        <v>17</v>
      </c>
      <c r="E43" s="1">
        <v>2251</v>
      </c>
      <c r="F43">
        <v>9</v>
      </c>
    </row>
    <row r="44" spans="1:6" x14ac:dyDescent="0.3">
      <c r="A44" t="s">
        <v>48</v>
      </c>
      <c r="B44">
        <v>10</v>
      </c>
      <c r="C44">
        <v>39</v>
      </c>
      <c r="D44">
        <v>6</v>
      </c>
      <c r="E44" s="1">
        <v>2243</v>
      </c>
      <c r="F44">
        <v>7</v>
      </c>
    </row>
    <row r="45" spans="1:6" x14ac:dyDescent="0.3">
      <c r="A45" t="s">
        <v>49</v>
      </c>
      <c r="B45">
        <v>9</v>
      </c>
      <c r="C45">
        <v>34</v>
      </c>
      <c r="D45">
        <v>17</v>
      </c>
      <c r="E45" s="1">
        <v>2237</v>
      </c>
      <c r="F45">
        <v>7</v>
      </c>
    </row>
    <row r="46" spans="1:6" x14ac:dyDescent="0.3">
      <c r="A46" t="s">
        <v>50</v>
      </c>
      <c r="B46">
        <v>9</v>
      </c>
      <c r="C46">
        <v>33</v>
      </c>
      <c r="D46">
        <v>15</v>
      </c>
      <c r="E46" s="1">
        <v>2233</v>
      </c>
      <c r="F46">
        <v>9</v>
      </c>
    </row>
    <row r="47" spans="1:6" x14ac:dyDescent="0.3">
      <c r="A47" t="s">
        <v>51</v>
      </c>
      <c r="B47">
        <v>8</v>
      </c>
      <c r="C47">
        <v>29</v>
      </c>
      <c r="D47">
        <v>10</v>
      </c>
      <c r="E47" s="1">
        <v>2225</v>
      </c>
      <c r="F47">
        <v>15</v>
      </c>
    </row>
    <row r="48" spans="1:6" x14ac:dyDescent="0.3">
      <c r="A48" t="s">
        <v>52</v>
      </c>
      <c r="B48">
        <v>7</v>
      </c>
      <c r="C48">
        <v>30</v>
      </c>
      <c r="D48">
        <v>16</v>
      </c>
      <c r="E48" s="1">
        <v>2235</v>
      </c>
      <c r="F48">
        <v>8</v>
      </c>
    </row>
    <row r="49" spans="1:6" x14ac:dyDescent="0.3">
      <c r="A49" t="s">
        <v>53</v>
      </c>
      <c r="B49">
        <v>8</v>
      </c>
      <c r="C49">
        <v>24</v>
      </c>
      <c r="D49">
        <v>7</v>
      </c>
      <c r="E49" s="1">
        <v>2223</v>
      </c>
      <c r="F49">
        <v>6</v>
      </c>
    </row>
    <row r="50" spans="1:6" x14ac:dyDescent="0.3">
      <c r="A50" t="s">
        <v>54</v>
      </c>
      <c r="B50">
        <v>11</v>
      </c>
      <c r="C50">
        <v>55</v>
      </c>
      <c r="D50">
        <v>13</v>
      </c>
      <c r="E50" s="1">
        <v>2192</v>
      </c>
      <c r="F50">
        <v>12</v>
      </c>
    </row>
    <row r="51" spans="1:6" x14ac:dyDescent="0.3">
      <c r="A51" t="s">
        <v>55</v>
      </c>
      <c r="B51">
        <v>8</v>
      </c>
      <c r="C51">
        <v>49</v>
      </c>
      <c r="D51">
        <v>15</v>
      </c>
      <c r="E51" s="1">
        <v>2192</v>
      </c>
      <c r="F51">
        <v>17</v>
      </c>
    </row>
    <row r="52" spans="1:6" x14ac:dyDescent="0.3">
      <c r="A52" t="s">
        <v>56</v>
      </c>
      <c r="B52">
        <v>11</v>
      </c>
      <c r="C52">
        <v>45</v>
      </c>
      <c r="D52">
        <v>4</v>
      </c>
      <c r="E52" s="1">
        <v>2189</v>
      </c>
      <c r="F52">
        <v>10</v>
      </c>
    </row>
    <row r="53" spans="1:6" x14ac:dyDescent="0.3">
      <c r="A53" t="s">
        <v>57</v>
      </c>
      <c r="B53">
        <v>5</v>
      </c>
      <c r="C53">
        <v>33</v>
      </c>
      <c r="D53">
        <v>15</v>
      </c>
      <c r="E53" s="1">
        <v>2187</v>
      </c>
      <c r="F53">
        <v>10</v>
      </c>
    </row>
    <row r="54" spans="1:6" x14ac:dyDescent="0.3">
      <c r="A54" t="s">
        <v>58</v>
      </c>
      <c r="B54">
        <v>8</v>
      </c>
      <c r="C54">
        <v>28</v>
      </c>
      <c r="D54">
        <v>13</v>
      </c>
      <c r="E54" s="1">
        <v>2180</v>
      </c>
      <c r="F54">
        <v>16</v>
      </c>
    </row>
    <row r="55" spans="1:6" x14ac:dyDescent="0.3">
      <c r="A55" t="s">
        <v>59</v>
      </c>
      <c r="B55">
        <v>20</v>
      </c>
      <c r="C55">
        <v>51</v>
      </c>
      <c r="D55">
        <v>15</v>
      </c>
      <c r="E55" s="1">
        <v>2164</v>
      </c>
      <c r="F55">
        <v>16</v>
      </c>
    </row>
    <row r="56" spans="1:6" x14ac:dyDescent="0.3">
      <c r="A56" t="s">
        <v>60</v>
      </c>
      <c r="B56">
        <v>4</v>
      </c>
      <c r="C56">
        <v>33</v>
      </c>
      <c r="D56">
        <v>12</v>
      </c>
      <c r="E56" s="1">
        <v>2163</v>
      </c>
      <c r="F56">
        <v>14</v>
      </c>
    </row>
    <row r="57" spans="1:6" x14ac:dyDescent="0.3">
      <c r="A57" t="s">
        <v>61</v>
      </c>
      <c r="B57">
        <v>8</v>
      </c>
      <c r="C57">
        <v>32</v>
      </c>
      <c r="D57">
        <v>12</v>
      </c>
      <c r="E57" s="1">
        <v>2159</v>
      </c>
      <c r="F57">
        <v>7</v>
      </c>
    </row>
    <row r="58" spans="1:6" x14ac:dyDescent="0.3">
      <c r="A58" t="s">
        <v>62</v>
      </c>
      <c r="B58">
        <v>8</v>
      </c>
      <c r="C58">
        <v>35</v>
      </c>
      <c r="D58">
        <v>12</v>
      </c>
      <c r="E58" s="1">
        <v>2148</v>
      </c>
      <c r="F58">
        <v>13</v>
      </c>
    </row>
    <row r="59" spans="1:6" x14ac:dyDescent="0.3">
      <c r="A59" t="s">
        <v>63</v>
      </c>
      <c r="B59">
        <v>11</v>
      </c>
      <c r="C59">
        <v>29</v>
      </c>
      <c r="D59">
        <v>12</v>
      </c>
      <c r="E59" s="1">
        <v>2146</v>
      </c>
      <c r="F59">
        <v>9</v>
      </c>
    </row>
    <row r="60" spans="1:6" x14ac:dyDescent="0.3">
      <c r="A60" t="s">
        <v>64</v>
      </c>
      <c r="B60">
        <v>6</v>
      </c>
      <c r="C60">
        <v>35</v>
      </c>
      <c r="D60">
        <v>12</v>
      </c>
      <c r="E60" s="1">
        <v>2132</v>
      </c>
      <c r="F60">
        <v>18</v>
      </c>
    </row>
    <row r="61" spans="1:6" x14ac:dyDescent="0.3">
      <c r="A61" t="s">
        <v>65</v>
      </c>
      <c r="B61">
        <v>3</v>
      </c>
      <c r="C61">
        <v>38</v>
      </c>
      <c r="D61">
        <v>12</v>
      </c>
      <c r="E61" s="1">
        <v>2138</v>
      </c>
      <c r="F61">
        <v>17</v>
      </c>
    </row>
    <row r="62" spans="1:6" x14ac:dyDescent="0.3">
      <c r="A62" t="s">
        <v>66</v>
      </c>
      <c r="B62">
        <v>11</v>
      </c>
      <c r="C62">
        <v>36</v>
      </c>
      <c r="D62">
        <v>10</v>
      </c>
      <c r="E62" s="1">
        <v>2145</v>
      </c>
      <c r="F62">
        <v>15</v>
      </c>
    </row>
    <row r="63" spans="1:6" x14ac:dyDescent="0.3">
      <c r="A63" t="s">
        <v>67</v>
      </c>
      <c r="B63">
        <v>17</v>
      </c>
      <c r="C63">
        <v>40</v>
      </c>
      <c r="D63">
        <v>14</v>
      </c>
      <c r="E63" s="1">
        <v>2141</v>
      </c>
      <c r="F63">
        <v>10</v>
      </c>
    </row>
    <row r="64" spans="1:6" x14ac:dyDescent="0.3">
      <c r="A64" t="s">
        <v>68</v>
      </c>
      <c r="B64">
        <v>8</v>
      </c>
      <c r="C64">
        <v>35</v>
      </c>
      <c r="D64">
        <v>13</v>
      </c>
      <c r="E64" s="1">
        <v>2134</v>
      </c>
      <c r="F64">
        <v>5</v>
      </c>
    </row>
    <row r="65" spans="1:6" x14ac:dyDescent="0.3">
      <c r="A65" t="s">
        <v>69</v>
      </c>
      <c r="B65">
        <v>20</v>
      </c>
      <c r="C65">
        <v>52</v>
      </c>
      <c r="D65">
        <v>11</v>
      </c>
      <c r="E65" s="1">
        <v>2096</v>
      </c>
      <c r="F65">
        <v>14</v>
      </c>
    </row>
    <row r="66" spans="1:6" x14ac:dyDescent="0.3">
      <c r="A66" t="s">
        <v>70</v>
      </c>
      <c r="B66">
        <v>7</v>
      </c>
      <c r="C66">
        <v>38</v>
      </c>
      <c r="D66">
        <v>5</v>
      </c>
      <c r="E66" s="1">
        <v>2096</v>
      </c>
      <c r="F66">
        <v>13</v>
      </c>
    </row>
    <row r="67" spans="1:6" x14ac:dyDescent="0.3">
      <c r="A67" t="s">
        <v>71</v>
      </c>
      <c r="B67">
        <v>7</v>
      </c>
      <c r="C67">
        <v>28</v>
      </c>
      <c r="D67">
        <v>17</v>
      </c>
      <c r="E67" s="1">
        <v>2095</v>
      </c>
      <c r="F67">
        <v>12</v>
      </c>
    </row>
    <row r="68" spans="1:6" x14ac:dyDescent="0.3">
      <c r="A68" t="s">
        <v>72</v>
      </c>
      <c r="B68">
        <v>9</v>
      </c>
      <c r="C68">
        <v>47</v>
      </c>
      <c r="D68">
        <v>10</v>
      </c>
      <c r="E68" s="1">
        <v>2086</v>
      </c>
      <c r="F68">
        <v>10</v>
      </c>
    </row>
    <row r="69" spans="1:6" x14ac:dyDescent="0.3">
      <c r="A69" t="s">
        <v>73</v>
      </c>
      <c r="B69">
        <v>7</v>
      </c>
      <c r="C69">
        <v>39</v>
      </c>
      <c r="D69">
        <v>13</v>
      </c>
      <c r="E69" s="1">
        <v>2083</v>
      </c>
      <c r="F69">
        <v>5</v>
      </c>
    </row>
    <row r="70" spans="1:6" x14ac:dyDescent="0.3">
      <c r="A70" t="s">
        <v>74</v>
      </c>
      <c r="B70">
        <v>12</v>
      </c>
      <c r="C70">
        <v>38</v>
      </c>
      <c r="D70">
        <v>29</v>
      </c>
      <c r="E70" s="1">
        <v>2047</v>
      </c>
      <c r="F70">
        <v>6</v>
      </c>
    </row>
    <row r="71" spans="1:6" x14ac:dyDescent="0.3">
      <c r="A71" t="s">
        <v>75</v>
      </c>
      <c r="B71">
        <v>10</v>
      </c>
      <c r="C71">
        <v>47</v>
      </c>
      <c r="D71">
        <v>14</v>
      </c>
      <c r="E71" s="1">
        <v>2025</v>
      </c>
      <c r="F71">
        <v>18</v>
      </c>
    </row>
    <row r="72" spans="1:6" x14ac:dyDescent="0.3">
      <c r="A72" t="s">
        <v>76</v>
      </c>
      <c r="B72">
        <v>18</v>
      </c>
      <c r="C72">
        <v>42</v>
      </c>
      <c r="D72">
        <v>11</v>
      </c>
      <c r="E72" s="1">
        <v>2023</v>
      </c>
      <c r="F72">
        <v>14</v>
      </c>
    </row>
    <row r="73" spans="1:6" x14ac:dyDescent="0.3">
      <c r="A73" t="s">
        <v>77</v>
      </c>
      <c r="B73">
        <v>7</v>
      </c>
      <c r="C73">
        <v>25</v>
      </c>
      <c r="D73">
        <v>5</v>
      </c>
      <c r="E73" s="1">
        <v>2025</v>
      </c>
      <c r="F73">
        <v>6</v>
      </c>
    </row>
    <row r="74" spans="1:6" x14ac:dyDescent="0.3">
      <c r="A74" t="s">
        <v>78</v>
      </c>
      <c r="B74">
        <v>4</v>
      </c>
      <c r="C74">
        <v>19</v>
      </c>
      <c r="D74">
        <v>9</v>
      </c>
      <c r="E74" s="1">
        <v>2026</v>
      </c>
      <c r="F74">
        <v>7</v>
      </c>
    </row>
    <row r="75" spans="1:6" x14ac:dyDescent="0.3">
      <c r="A75" t="s">
        <v>79</v>
      </c>
      <c r="B75">
        <v>11</v>
      </c>
      <c r="C75">
        <v>40</v>
      </c>
      <c r="D75">
        <v>2</v>
      </c>
      <c r="E75" s="1">
        <v>2015</v>
      </c>
      <c r="F75">
        <v>14</v>
      </c>
    </row>
    <row r="76" spans="1:6" x14ac:dyDescent="0.3">
      <c r="A76" t="s">
        <v>80</v>
      </c>
      <c r="B76">
        <v>4</v>
      </c>
      <c r="C76">
        <v>29</v>
      </c>
      <c r="D76">
        <v>11</v>
      </c>
      <c r="E76" s="1">
        <v>2019</v>
      </c>
      <c r="F76">
        <v>10</v>
      </c>
    </row>
    <row r="77" spans="1:6" x14ac:dyDescent="0.3">
      <c r="A77" t="s">
        <v>81</v>
      </c>
      <c r="B77">
        <v>6</v>
      </c>
      <c r="C77">
        <v>35</v>
      </c>
      <c r="D77">
        <v>9</v>
      </c>
      <c r="E77" s="1">
        <v>2020</v>
      </c>
      <c r="F77">
        <v>9</v>
      </c>
    </row>
    <row r="78" spans="1:6" x14ac:dyDescent="0.3">
      <c r="A78" t="s">
        <v>82</v>
      </c>
      <c r="B78">
        <v>10</v>
      </c>
      <c r="C78">
        <v>29</v>
      </c>
      <c r="D78">
        <v>17</v>
      </c>
      <c r="E78" s="1">
        <v>2010</v>
      </c>
      <c r="F78">
        <v>5</v>
      </c>
    </row>
    <row r="79" spans="1:6" x14ac:dyDescent="0.3">
      <c r="A79" t="s">
        <v>83</v>
      </c>
      <c r="B79">
        <v>8</v>
      </c>
      <c r="C79">
        <v>33</v>
      </c>
      <c r="D79">
        <v>6</v>
      </c>
      <c r="E79" s="1">
        <v>1984</v>
      </c>
      <c r="F79">
        <v>17</v>
      </c>
    </row>
    <row r="80" spans="1:6" x14ac:dyDescent="0.3">
      <c r="A80" t="s">
        <v>84</v>
      </c>
      <c r="B80">
        <v>5</v>
      </c>
      <c r="C80">
        <v>19</v>
      </c>
      <c r="D80">
        <v>9</v>
      </c>
      <c r="E80" s="1">
        <v>1988</v>
      </c>
      <c r="F80">
        <v>19</v>
      </c>
    </row>
    <row r="81" spans="1:6" x14ac:dyDescent="0.3">
      <c r="A81" t="s">
        <v>85</v>
      </c>
      <c r="B81">
        <v>10</v>
      </c>
      <c r="C81">
        <v>21</v>
      </c>
      <c r="D81">
        <v>20</v>
      </c>
      <c r="E81" s="1">
        <v>1989</v>
      </c>
      <c r="F81">
        <v>15</v>
      </c>
    </row>
    <row r="82" spans="1:6" x14ac:dyDescent="0.3">
      <c r="A82" t="s">
        <v>86</v>
      </c>
      <c r="B82">
        <v>8</v>
      </c>
      <c r="C82">
        <v>30</v>
      </c>
      <c r="D82">
        <v>8</v>
      </c>
      <c r="E82" s="1">
        <v>1980</v>
      </c>
      <c r="F82">
        <v>11</v>
      </c>
    </row>
    <row r="83" spans="1:6" x14ac:dyDescent="0.3">
      <c r="A83" t="s">
        <v>87</v>
      </c>
      <c r="B83">
        <v>4</v>
      </c>
      <c r="C83">
        <v>21</v>
      </c>
      <c r="D83">
        <v>5</v>
      </c>
      <c r="E83" s="1">
        <v>1981</v>
      </c>
      <c r="F83">
        <v>5</v>
      </c>
    </row>
    <row r="84" spans="1:6" x14ac:dyDescent="0.3">
      <c r="A84" t="s">
        <v>88</v>
      </c>
      <c r="B84">
        <v>6</v>
      </c>
      <c r="C84">
        <v>49</v>
      </c>
      <c r="D84">
        <v>8</v>
      </c>
      <c r="E84" s="1">
        <v>1972</v>
      </c>
      <c r="F84">
        <v>21</v>
      </c>
    </row>
    <row r="85" spans="1:6" x14ac:dyDescent="0.3">
      <c r="A85" t="s">
        <v>89</v>
      </c>
      <c r="B85">
        <v>10</v>
      </c>
      <c r="C85">
        <v>38</v>
      </c>
      <c r="D85">
        <v>10</v>
      </c>
      <c r="E85" s="1">
        <v>1983</v>
      </c>
      <c r="F85">
        <v>10</v>
      </c>
    </row>
    <row r="86" spans="1:6" x14ac:dyDescent="0.3">
      <c r="A86" t="s">
        <v>90</v>
      </c>
      <c r="B86">
        <v>5</v>
      </c>
      <c r="C86">
        <v>35</v>
      </c>
      <c r="D86">
        <v>3</v>
      </c>
      <c r="E86" s="1">
        <v>1980</v>
      </c>
      <c r="F86">
        <v>11</v>
      </c>
    </row>
    <row r="87" spans="1:6" x14ac:dyDescent="0.3">
      <c r="A87" t="s">
        <v>91</v>
      </c>
      <c r="B87">
        <v>4</v>
      </c>
      <c r="C87">
        <v>20</v>
      </c>
      <c r="D87">
        <v>6</v>
      </c>
      <c r="E87" s="1">
        <v>1985</v>
      </c>
      <c r="F87">
        <v>14</v>
      </c>
    </row>
    <row r="88" spans="1:6" x14ac:dyDescent="0.3">
      <c r="A88" t="s">
        <v>92</v>
      </c>
      <c r="B88">
        <v>4</v>
      </c>
      <c r="C88">
        <v>14</v>
      </c>
      <c r="D88">
        <v>2</v>
      </c>
      <c r="E88" s="1">
        <v>1991</v>
      </c>
      <c r="F88">
        <v>3</v>
      </c>
    </row>
    <row r="89" spans="1:6" x14ac:dyDescent="0.3">
      <c r="A89" t="s">
        <v>93</v>
      </c>
      <c r="B89">
        <v>3</v>
      </c>
      <c r="C89">
        <v>27</v>
      </c>
      <c r="D89">
        <v>4</v>
      </c>
      <c r="E89" s="1">
        <v>1994</v>
      </c>
      <c r="F89">
        <v>11</v>
      </c>
    </row>
    <row r="90" spans="1:6" x14ac:dyDescent="0.3">
      <c r="A90" t="s">
        <v>94</v>
      </c>
      <c r="B90">
        <v>6</v>
      </c>
      <c r="C90">
        <v>22</v>
      </c>
      <c r="D90">
        <v>12</v>
      </c>
      <c r="E90" s="1">
        <v>1997</v>
      </c>
      <c r="F90">
        <v>17</v>
      </c>
    </row>
    <row r="91" spans="1:6" x14ac:dyDescent="0.3">
      <c r="A91" t="s">
        <v>95</v>
      </c>
      <c r="B91">
        <v>8</v>
      </c>
      <c r="C91">
        <v>38</v>
      </c>
      <c r="D91">
        <v>9</v>
      </c>
      <c r="E91" s="1">
        <v>1999</v>
      </c>
      <c r="F91">
        <v>9</v>
      </c>
    </row>
    <row r="92" spans="1:6" x14ac:dyDescent="0.3">
      <c r="A92" t="s">
        <v>96</v>
      </c>
      <c r="B92">
        <v>6</v>
      </c>
      <c r="C92">
        <v>23</v>
      </c>
      <c r="D92">
        <v>4</v>
      </c>
      <c r="E92" s="1">
        <v>1999</v>
      </c>
      <c r="F92">
        <v>16</v>
      </c>
    </row>
    <row r="93" spans="1:6" x14ac:dyDescent="0.3">
      <c r="A93" t="s">
        <v>97</v>
      </c>
      <c r="B93">
        <v>0</v>
      </c>
      <c r="C93">
        <v>18</v>
      </c>
      <c r="D93">
        <v>8</v>
      </c>
      <c r="E93" s="1">
        <v>2006</v>
      </c>
      <c r="F93">
        <v>12</v>
      </c>
    </row>
    <row r="94" spans="1:6" x14ac:dyDescent="0.3">
      <c r="A94" t="s">
        <v>98</v>
      </c>
      <c r="B94">
        <v>4</v>
      </c>
      <c r="C94">
        <v>18</v>
      </c>
      <c r="D94">
        <v>6</v>
      </c>
      <c r="E94" s="1">
        <v>2031</v>
      </c>
      <c r="F94">
        <v>17</v>
      </c>
    </row>
    <row r="95" spans="1:6" x14ac:dyDescent="0.3">
      <c r="A95" t="s">
        <v>99</v>
      </c>
      <c r="B95">
        <v>4</v>
      </c>
      <c r="C95">
        <v>17</v>
      </c>
      <c r="D95">
        <v>3</v>
      </c>
      <c r="E95" s="1">
        <v>2036</v>
      </c>
      <c r="F95">
        <v>13</v>
      </c>
    </row>
    <row r="96" spans="1:6" x14ac:dyDescent="0.3">
      <c r="A96" t="s">
        <v>100</v>
      </c>
      <c r="B96">
        <v>2</v>
      </c>
      <c r="C96">
        <v>21</v>
      </c>
      <c r="D96">
        <v>10</v>
      </c>
      <c r="E96" s="1">
        <v>2042</v>
      </c>
      <c r="F96">
        <v>14</v>
      </c>
    </row>
    <row r="97" spans="1:6" x14ac:dyDescent="0.3">
      <c r="A97" t="s">
        <v>101</v>
      </c>
      <c r="B97">
        <v>5</v>
      </c>
      <c r="C97">
        <v>22</v>
      </c>
      <c r="D97">
        <v>11</v>
      </c>
      <c r="E97" s="1">
        <v>2040</v>
      </c>
      <c r="F97">
        <v>14</v>
      </c>
    </row>
    <row r="98" spans="1:6" x14ac:dyDescent="0.3">
      <c r="A98" t="s">
        <v>102</v>
      </c>
      <c r="B98">
        <v>5</v>
      </c>
      <c r="C98">
        <v>26</v>
      </c>
      <c r="D98">
        <v>3</v>
      </c>
      <c r="E98" s="1">
        <v>2049</v>
      </c>
      <c r="F98">
        <v>5</v>
      </c>
    </row>
    <row r="99" spans="1:6" x14ac:dyDescent="0.3">
      <c r="A99" t="s">
        <v>103</v>
      </c>
      <c r="B99">
        <v>2</v>
      </c>
      <c r="C99">
        <v>9</v>
      </c>
      <c r="D99">
        <v>6</v>
      </c>
      <c r="E99" s="1">
        <v>2058</v>
      </c>
      <c r="F99">
        <v>15</v>
      </c>
    </row>
    <row r="100" spans="1:6" x14ac:dyDescent="0.3">
      <c r="A100" t="s">
        <v>104</v>
      </c>
      <c r="B100">
        <v>4</v>
      </c>
      <c r="C100">
        <v>15</v>
      </c>
      <c r="D100">
        <v>4</v>
      </c>
      <c r="E100" s="1">
        <v>2063</v>
      </c>
      <c r="F100">
        <v>16</v>
      </c>
    </row>
    <row r="101" spans="1:6" x14ac:dyDescent="0.3">
      <c r="A101" t="s">
        <v>105</v>
      </c>
      <c r="B101">
        <v>2</v>
      </c>
      <c r="C101">
        <v>8</v>
      </c>
      <c r="D101">
        <v>3</v>
      </c>
      <c r="E101" s="1">
        <v>2072</v>
      </c>
      <c r="F101">
        <v>12</v>
      </c>
    </row>
    <row r="102" spans="1:6" x14ac:dyDescent="0.3">
      <c r="A102" t="s">
        <v>106</v>
      </c>
      <c r="B102">
        <v>2</v>
      </c>
      <c r="C102">
        <v>9</v>
      </c>
      <c r="D102">
        <v>3</v>
      </c>
      <c r="E102" s="1">
        <v>2080</v>
      </c>
      <c r="F102">
        <v>14</v>
      </c>
    </row>
    <row r="103" spans="1:6" x14ac:dyDescent="0.3">
      <c r="A103" t="s">
        <v>107</v>
      </c>
      <c r="B103">
        <v>1</v>
      </c>
      <c r="C103">
        <v>12</v>
      </c>
      <c r="D103">
        <v>2</v>
      </c>
      <c r="E103" s="1">
        <v>2088</v>
      </c>
      <c r="F103">
        <v>4</v>
      </c>
    </row>
    <row r="104" spans="1:6" x14ac:dyDescent="0.3">
      <c r="A104" t="s">
        <v>108</v>
      </c>
      <c r="B104">
        <v>6</v>
      </c>
      <c r="C104">
        <v>18</v>
      </c>
      <c r="D104">
        <v>7</v>
      </c>
      <c r="E104" s="1">
        <v>2096</v>
      </c>
      <c r="F104">
        <v>29</v>
      </c>
    </row>
    <row r="105" spans="1:6" x14ac:dyDescent="0.3">
      <c r="A105" t="s">
        <v>109</v>
      </c>
      <c r="B105">
        <v>6</v>
      </c>
      <c r="C105">
        <v>21</v>
      </c>
      <c r="D105">
        <v>5</v>
      </c>
      <c r="E105" s="1">
        <v>2111</v>
      </c>
      <c r="F105">
        <v>14</v>
      </c>
    </row>
    <row r="106" spans="1:6" x14ac:dyDescent="0.3">
      <c r="A106" t="s">
        <v>110</v>
      </c>
      <c r="B106">
        <v>5</v>
      </c>
      <c r="C106">
        <v>13</v>
      </c>
      <c r="D106">
        <v>3</v>
      </c>
      <c r="E106" s="1">
        <v>2117</v>
      </c>
      <c r="F106">
        <v>16</v>
      </c>
    </row>
    <row r="107" spans="1:6" x14ac:dyDescent="0.3">
      <c r="A107" t="s">
        <v>111</v>
      </c>
      <c r="B107">
        <v>4</v>
      </c>
      <c r="C107">
        <v>18</v>
      </c>
      <c r="D107">
        <v>7</v>
      </c>
      <c r="E107" s="1">
        <v>2121</v>
      </c>
      <c r="F107">
        <v>16</v>
      </c>
    </row>
    <row r="108" spans="1:6" x14ac:dyDescent="0.3">
      <c r="A108" t="s">
        <v>112</v>
      </c>
      <c r="B108">
        <v>3</v>
      </c>
      <c r="C108">
        <v>16</v>
      </c>
      <c r="D108">
        <v>2</v>
      </c>
      <c r="E108" s="1">
        <v>2153</v>
      </c>
      <c r="F108">
        <v>17</v>
      </c>
    </row>
    <row r="109" spans="1:6" x14ac:dyDescent="0.3">
      <c r="A109" t="s">
        <v>113</v>
      </c>
      <c r="B109">
        <v>1</v>
      </c>
      <c r="C109">
        <v>9</v>
      </c>
      <c r="D109">
        <v>0</v>
      </c>
      <c r="E109" s="1">
        <v>2164</v>
      </c>
      <c r="F109">
        <v>11</v>
      </c>
    </row>
    <row r="110" spans="1:6" x14ac:dyDescent="0.3">
      <c r="A110" t="s">
        <v>114</v>
      </c>
      <c r="B110">
        <v>0</v>
      </c>
      <c r="C110">
        <v>8</v>
      </c>
      <c r="D110">
        <v>5</v>
      </c>
      <c r="E110" s="1">
        <v>2171</v>
      </c>
      <c r="F110">
        <v>17</v>
      </c>
    </row>
    <row r="111" spans="1:6" x14ac:dyDescent="0.3">
      <c r="A111" t="s">
        <v>115</v>
      </c>
      <c r="B111">
        <v>2</v>
      </c>
      <c r="C111">
        <v>9</v>
      </c>
      <c r="D111">
        <v>1</v>
      </c>
      <c r="E111" s="1">
        <v>2181</v>
      </c>
      <c r="F111">
        <v>26</v>
      </c>
    </row>
    <row r="112" spans="1:6" x14ac:dyDescent="0.3">
      <c r="A112" t="s">
        <v>116</v>
      </c>
      <c r="B112">
        <v>1</v>
      </c>
      <c r="C112">
        <v>13</v>
      </c>
      <c r="D112">
        <v>4</v>
      </c>
      <c r="E112" s="1">
        <v>2204</v>
      </c>
      <c r="F112">
        <v>10</v>
      </c>
    </row>
    <row r="113" spans="1:6" x14ac:dyDescent="0.3">
      <c r="A113" t="s">
        <v>117</v>
      </c>
      <c r="B113">
        <v>2</v>
      </c>
      <c r="C113">
        <v>12</v>
      </c>
      <c r="D113">
        <v>3</v>
      </c>
      <c r="E113" s="1">
        <v>2252</v>
      </c>
      <c r="F113">
        <v>39</v>
      </c>
    </row>
    <row r="114" spans="1:6" x14ac:dyDescent="0.3">
      <c r="A114" t="s">
        <v>118</v>
      </c>
      <c r="B114">
        <v>2</v>
      </c>
      <c r="C114">
        <v>18</v>
      </c>
      <c r="D114">
        <v>0</v>
      </c>
      <c r="E114" s="1">
        <v>2281</v>
      </c>
      <c r="F114">
        <v>32</v>
      </c>
    </row>
    <row r="115" spans="1:6" x14ac:dyDescent="0.3">
      <c r="A115" t="s">
        <v>119</v>
      </c>
      <c r="B115">
        <v>5</v>
      </c>
      <c r="C115">
        <v>16</v>
      </c>
      <c r="D115">
        <v>8</v>
      </c>
      <c r="E115" s="1">
        <v>2306</v>
      </c>
      <c r="F115">
        <v>20</v>
      </c>
    </row>
    <row r="116" spans="1:6" x14ac:dyDescent="0.3">
      <c r="A116" t="s">
        <v>120</v>
      </c>
      <c r="B116">
        <v>3</v>
      </c>
      <c r="C116">
        <v>18</v>
      </c>
      <c r="D116">
        <v>8</v>
      </c>
      <c r="E116" s="1">
        <v>2317</v>
      </c>
      <c r="F116">
        <v>20</v>
      </c>
    </row>
    <row r="117" spans="1:6" x14ac:dyDescent="0.3">
      <c r="A117" t="s">
        <v>121</v>
      </c>
      <c r="B117">
        <v>4</v>
      </c>
      <c r="C117">
        <v>17</v>
      </c>
      <c r="D117">
        <v>2</v>
      </c>
      <c r="E117" s="1">
        <v>2332</v>
      </c>
      <c r="F117">
        <v>8</v>
      </c>
    </row>
    <row r="118" spans="1:6" x14ac:dyDescent="0.3">
      <c r="A118" t="s">
        <v>122</v>
      </c>
      <c r="B118">
        <v>8</v>
      </c>
      <c r="C118">
        <v>20</v>
      </c>
      <c r="D118">
        <v>9</v>
      </c>
      <c r="E118" s="1">
        <v>2373</v>
      </c>
      <c r="F118">
        <v>38</v>
      </c>
    </row>
    <row r="119" spans="1:6" x14ac:dyDescent="0.3">
      <c r="A119" t="s">
        <v>123</v>
      </c>
      <c r="B119">
        <v>7</v>
      </c>
      <c r="C119">
        <v>14</v>
      </c>
      <c r="D119">
        <v>6</v>
      </c>
      <c r="E119" s="1">
        <v>2391</v>
      </c>
      <c r="F119">
        <v>22</v>
      </c>
    </row>
    <row r="120" spans="1:6" x14ac:dyDescent="0.3">
      <c r="A120" t="s">
        <v>124</v>
      </c>
      <c r="B120">
        <v>9</v>
      </c>
      <c r="C120">
        <v>22</v>
      </c>
      <c r="D120">
        <v>8</v>
      </c>
      <c r="E120" s="1">
        <v>2407</v>
      </c>
      <c r="F120">
        <v>16</v>
      </c>
    </row>
    <row r="121" spans="1:6" x14ac:dyDescent="0.3">
      <c r="A121" t="s">
        <v>125</v>
      </c>
      <c r="B121">
        <v>5</v>
      </c>
      <c r="C121">
        <v>17</v>
      </c>
      <c r="D121">
        <v>7</v>
      </c>
      <c r="E121" s="1">
        <v>2413</v>
      </c>
      <c r="F121">
        <v>20</v>
      </c>
    </row>
    <row r="122" spans="1:6" x14ac:dyDescent="0.3">
      <c r="A122" t="s">
        <v>126</v>
      </c>
      <c r="B122">
        <v>3</v>
      </c>
      <c r="C122">
        <v>9</v>
      </c>
      <c r="D122">
        <v>7</v>
      </c>
      <c r="E122" s="1">
        <v>2447</v>
      </c>
      <c r="F122">
        <v>35</v>
      </c>
    </row>
    <row r="123" spans="1:6" x14ac:dyDescent="0.3">
      <c r="A123" t="s">
        <v>127</v>
      </c>
      <c r="B123">
        <v>6</v>
      </c>
      <c r="C123">
        <v>12</v>
      </c>
      <c r="D123">
        <v>2</v>
      </c>
      <c r="E123" s="1">
        <v>2470</v>
      </c>
      <c r="F123">
        <v>24</v>
      </c>
    </row>
    <row r="124" spans="1:6" x14ac:dyDescent="0.3">
      <c r="A124" t="s">
        <v>128</v>
      </c>
      <c r="B124">
        <v>5</v>
      </c>
      <c r="C124">
        <v>20</v>
      </c>
      <c r="D124">
        <v>5</v>
      </c>
      <c r="E124" s="1">
        <v>2489</v>
      </c>
      <c r="F124">
        <v>16</v>
      </c>
    </row>
    <row r="125" spans="1:6" x14ac:dyDescent="0.3">
      <c r="A125" t="s">
        <v>129</v>
      </c>
      <c r="B125">
        <v>3</v>
      </c>
      <c r="C125">
        <v>15</v>
      </c>
      <c r="D125">
        <v>5</v>
      </c>
      <c r="E125" s="1">
        <v>2495</v>
      </c>
      <c r="F125">
        <v>17</v>
      </c>
    </row>
    <row r="126" spans="1:6" x14ac:dyDescent="0.3">
      <c r="A126" t="s">
        <v>130</v>
      </c>
      <c r="B126">
        <v>7</v>
      </c>
      <c r="C126">
        <v>13</v>
      </c>
      <c r="D126">
        <v>5</v>
      </c>
      <c r="E126" s="1">
        <v>2508</v>
      </c>
      <c r="F126">
        <v>7</v>
      </c>
    </row>
    <row r="127" spans="1:6" x14ac:dyDescent="0.3">
      <c r="A127" t="s">
        <v>131</v>
      </c>
      <c r="B127">
        <v>8</v>
      </c>
      <c r="C127">
        <v>19</v>
      </c>
      <c r="D127">
        <v>7</v>
      </c>
      <c r="E127" s="1">
        <v>2501</v>
      </c>
      <c r="F127">
        <v>18</v>
      </c>
    </row>
    <row r="128" spans="1:6" x14ac:dyDescent="0.3">
      <c r="A128" t="s">
        <v>132</v>
      </c>
      <c r="B128">
        <v>7</v>
      </c>
      <c r="C128">
        <v>24</v>
      </c>
      <c r="D128">
        <v>10</v>
      </c>
      <c r="E128" s="1">
        <v>2523</v>
      </c>
      <c r="F128">
        <v>14</v>
      </c>
    </row>
    <row r="129" spans="1:6" x14ac:dyDescent="0.3">
      <c r="A129" t="s">
        <v>133</v>
      </c>
      <c r="B129">
        <v>17</v>
      </c>
      <c r="C129">
        <v>28</v>
      </c>
      <c r="D129">
        <v>7</v>
      </c>
      <c r="E129" s="1">
        <v>2511</v>
      </c>
      <c r="F129">
        <v>12</v>
      </c>
    </row>
    <row r="130" spans="1:6" x14ac:dyDescent="0.3">
      <c r="A130" t="s">
        <v>134</v>
      </c>
      <c r="B130">
        <v>8</v>
      </c>
      <c r="C130">
        <v>21</v>
      </c>
      <c r="D130">
        <v>14</v>
      </c>
      <c r="E130" s="1">
        <v>2516</v>
      </c>
      <c r="F130">
        <v>9</v>
      </c>
    </row>
    <row r="131" spans="1:6" x14ac:dyDescent="0.3">
      <c r="A131" t="s">
        <v>135</v>
      </c>
      <c r="B131">
        <v>10</v>
      </c>
      <c r="C131">
        <v>16</v>
      </c>
      <c r="D131">
        <v>15</v>
      </c>
      <c r="E131" s="1">
        <v>2507</v>
      </c>
      <c r="F131">
        <v>13</v>
      </c>
    </row>
    <row r="132" spans="1:6" x14ac:dyDescent="0.3">
      <c r="A132" t="s">
        <v>136</v>
      </c>
      <c r="B132">
        <v>8</v>
      </c>
      <c r="C132">
        <v>26</v>
      </c>
      <c r="D132">
        <v>5</v>
      </c>
      <c r="E132" s="1">
        <v>2503</v>
      </c>
      <c r="F132">
        <v>21</v>
      </c>
    </row>
    <row r="133" spans="1:6" x14ac:dyDescent="0.3">
      <c r="A133" t="s">
        <v>137</v>
      </c>
      <c r="B133">
        <v>4</v>
      </c>
      <c r="C133">
        <v>16</v>
      </c>
      <c r="D133">
        <v>9</v>
      </c>
      <c r="E133" s="1">
        <v>2516</v>
      </c>
      <c r="F133">
        <v>16</v>
      </c>
    </row>
    <row r="134" spans="1:6" x14ac:dyDescent="0.3">
      <c r="A134" t="s">
        <v>138</v>
      </c>
      <c r="B134">
        <v>5</v>
      </c>
      <c r="C134">
        <v>23</v>
      </c>
      <c r="D134">
        <v>11</v>
      </c>
      <c r="E134" s="1">
        <v>2519</v>
      </c>
      <c r="F134">
        <v>15</v>
      </c>
    </row>
    <row r="135" spans="1:6" x14ac:dyDescent="0.3">
      <c r="A135" t="s">
        <v>139</v>
      </c>
      <c r="B135">
        <v>10</v>
      </c>
      <c r="C135">
        <v>19</v>
      </c>
      <c r="D135">
        <v>5</v>
      </c>
      <c r="E135" s="1">
        <v>2518</v>
      </c>
      <c r="F135">
        <v>16</v>
      </c>
    </row>
    <row r="136" spans="1:6" x14ac:dyDescent="0.3">
      <c r="A136" t="s">
        <v>140</v>
      </c>
      <c r="B136">
        <v>8</v>
      </c>
      <c r="C136">
        <v>24</v>
      </c>
      <c r="D136">
        <v>16</v>
      </c>
      <c r="E136" s="1">
        <v>2528</v>
      </c>
      <c r="F136">
        <v>12</v>
      </c>
    </row>
    <row r="137" spans="1:6" x14ac:dyDescent="0.3">
      <c r="A137" t="s">
        <v>141</v>
      </c>
      <c r="B137">
        <v>13</v>
      </c>
      <c r="C137">
        <v>38</v>
      </c>
      <c r="D137">
        <v>15</v>
      </c>
      <c r="E137" s="1">
        <v>2506</v>
      </c>
      <c r="F137">
        <v>11</v>
      </c>
    </row>
    <row r="138" spans="1:6" x14ac:dyDescent="0.3">
      <c r="A138" t="s">
        <v>142</v>
      </c>
      <c r="B138">
        <v>12</v>
      </c>
      <c r="C138">
        <v>39</v>
      </c>
      <c r="D138">
        <v>12</v>
      </c>
      <c r="E138" s="1">
        <v>2499</v>
      </c>
      <c r="F138">
        <v>14</v>
      </c>
    </row>
    <row r="139" spans="1:6" x14ac:dyDescent="0.3">
      <c r="A139" t="s">
        <v>143</v>
      </c>
      <c r="B139">
        <v>6</v>
      </c>
      <c r="C139">
        <v>24</v>
      </c>
      <c r="D139">
        <v>7</v>
      </c>
      <c r="E139" s="1">
        <v>2504</v>
      </c>
      <c r="F139">
        <v>11</v>
      </c>
    </row>
    <row r="140" spans="1:6" x14ac:dyDescent="0.3">
      <c r="A140" t="s">
        <v>144</v>
      </c>
      <c r="B140">
        <v>18</v>
      </c>
      <c r="C140">
        <v>36</v>
      </c>
      <c r="D140">
        <v>17</v>
      </c>
      <c r="E140" s="1">
        <v>2473</v>
      </c>
      <c r="F140">
        <v>15</v>
      </c>
    </row>
    <row r="141" spans="1:6" x14ac:dyDescent="0.3">
      <c r="A141" t="s">
        <v>145</v>
      </c>
      <c r="B141">
        <v>14</v>
      </c>
      <c r="C141">
        <v>62</v>
      </c>
      <c r="D141">
        <v>13</v>
      </c>
      <c r="E141" s="1">
        <v>2467</v>
      </c>
      <c r="F141">
        <v>18</v>
      </c>
    </row>
    <row r="142" spans="1:6" x14ac:dyDescent="0.3">
      <c r="A142" t="s">
        <v>146</v>
      </c>
      <c r="B142">
        <v>7</v>
      </c>
      <c r="C142">
        <v>27</v>
      </c>
      <c r="D142">
        <v>17</v>
      </c>
      <c r="E142" s="1">
        <v>2457</v>
      </c>
      <c r="F142">
        <v>6</v>
      </c>
    </row>
    <row r="143" spans="1:6" x14ac:dyDescent="0.3">
      <c r="A143" t="s">
        <v>147</v>
      </c>
      <c r="B143">
        <v>13</v>
      </c>
      <c r="C143">
        <v>28</v>
      </c>
      <c r="D143">
        <v>14</v>
      </c>
      <c r="E143" s="1">
        <v>2437</v>
      </c>
      <c r="F143">
        <v>9</v>
      </c>
    </row>
    <row r="144" spans="1:6" x14ac:dyDescent="0.3">
      <c r="A144" t="s">
        <v>148</v>
      </c>
      <c r="B144">
        <v>15</v>
      </c>
      <c r="C144">
        <v>31</v>
      </c>
      <c r="D144">
        <v>14</v>
      </c>
      <c r="E144" s="1">
        <v>2410</v>
      </c>
      <c r="F144">
        <v>14</v>
      </c>
    </row>
    <row r="145" spans="1:6" x14ac:dyDescent="0.3">
      <c r="A145" t="s">
        <v>149</v>
      </c>
      <c r="B145">
        <v>7</v>
      </c>
      <c r="C145">
        <v>30</v>
      </c>
      <c r="D145">
        <v>14</v>
      </c>
      <c r="E145" s="1">
        <v>2394</v>
      </c>
      <c r="F145">
        <v>11</v>
      </c>
    </row>
    <row r="146" spans="1:6" x14ac:dyDescent="0.3">
      <c r="A146" t="s">
        <v>150</v>
      </c>
      <c r="B146">
        <v>18</v>
      </c>
      <c r="C146">
        <v>29</v>
      </c>
      <c r="D146">
        <v>12</v>
      </c>
      <c r="E146" s="1">
        <v>2394</v>
      </c>
      <c r="F146">
        <v>11</v>
      </c>
    </row>
    <row r="147" spans="1:6" x14ac:dyDescent="0.3">
      <c r="A147" t="s">
        <v>151</v>
      </c>
      <c r="B147">
        <v>7</v>
      </c>
      <c r="C147">
        <v>33</v>
      </c>
      <c r="D147">
        <v>14</v>
      </c>
      <c r="E147" s="1">
        <v>2392</v>
      </c>
      <c r="F147">
        <v>7</v>
      </c>
    </row>
    <row r="148" spans="1:6" x14ac:dyDescent="0.3">
      <c r="A148" t="s">
        <v>152</v>
      </c>
      <c r="B148">
        <v>15</v>
      </c>
      <c r="C148">
        <v>20</v>
      </c>
      <c r="D148">
        <v>12</v>
      </c>
      <c r="E148" s="1">
        <v>2385</v>
      </c>
      <c r="F148">
        <v>3</v>
      </c>
    </row>
    <row r="149" spans="1:6" x14ac:dyDescent="0.3">
      <c r="A149" t="s">
        <v>153</v>
      </c>
      <c r="B149">
        <v>15</v>
      </c>
      <c r="C149">
        <v>24</v>
      </c>
      <c r="D149">
        <v>16</v>
      </c>
      <c r="E149" s="1">
        <v>2361</v>
      </c>
      <c r="F149">
        <v>11</v>
      </c>
    </row>
    <row r="150" spans="1:6" x14ac:dyDescent="0.3">
      <c r="A150" t="s">
        <v>154</v>
      </c>
      <c r="B150">
        <v>10</v>
      </c>
      <c r="C150">
        <v>30</v>
      </c>
      <c r="D150">
        <v>15</v>
      </c>
      <c r="E150" s="1">
        <v>2335</v>
      </c>
      <c r="F150">
        <v>10</v>
      </c>
    </row>
    <row r="151" spans="1:6" x14ac:dyDescent="0.3">
      <c r="A151" t="s">
        <v>155</v>
      </c>
      <c r="B151">
        <v>10</v>
      </c>
      <c r="C151">
        <v>33</v>
      </c>
      <c r="D151">
        <v>16</v>
      </c>
      <c r="E151" s="1">
        <v>2339</v>
      </c>
      <c r="F151">
        <v>16</v>
      </c>
    </row>
    <row r="152" spans="1:6" x14ac:dyDescent="0.3">
      <c r="A152" t="s">
        <v>156</v>
      </c>
      <c r="B152">
        <v>15</v>
      </c>
      <c r="C152">
        <v>44</v>
      </c>
      <c r="D152">
        <v>20</v>
      </c>
      <c r="E152" s="1">
        <v>2331</v>
      </c>
      <c r="F152">
        <v>17</v>
      </c>
    </row>
    <row r="153" spans="1:6" x14ac:dyDescent="0.3">
      <c r="A153" t="s">
        <v>157</v>
      </c>
      <c r="B153">
        <v>9</v>
      </c>
      <c r="C153">
        <v>31</v>
      </c>
      <c r="D153">
        <v>10</v>
      </c>
      <c r="E153" s="1">
        <v>2335</v>
      </c>
      <c r="F153">
        <v>5</v>
      </c>
    </row>
    <row r="154" spans="1:6" x14ac:dyDescent="0.3">
      <c r="A154" t="s">
        <v>158</v>
      </c>
      <c r="B154">
        <v>13</v>
      </c>
      <c r="C154">
        <v>32</v>
      </c>
      <c r="D154">
        <v>14</v>
      </c>
      <c r="E154" s="1">
        <v>2306</v>
      </c>
      <c r="F154">
        <v>16</v>
      </c>
    </row>
    <row r="155" spans="1:6" x14ac:dyDescent="0.3">
      <c r="A155" t="s">
        <v>159</v>
      </c>
      <c r="B155">
        <v>7</v>
      </c>
      <c r="C155">
        <v>34</v>
      </c>
      <c r="D155">
        <v>9</v>
      </c>
      <c r="E155" s="1">
        <v>2309</v>
      </c>
      <c r="F155">
        <v>12</v>
      </c>
    </row>
    <row r="156" spans="1:6" x14ac:dyDescent="0.3">
      <c r="A156" t="s">
        <v>160</v>
      </c>
      <c r="B156">
        <v>11</v>
      </c>
      <c r="C156">
        <v>25</v>
      </c>
      <c r="D156">
        <v>11</v>
      </c>
      <c r="E156" s="1">
        <v>2304</v>
      </c>
      <c r="F156">
        <v>15</v>
      </c>
    </row>
    <row r="157" spans="1:6" x14ac:dyDescent="0.3">
      <c r="A157" t="s">
        <v>161</v>
      </c>
      <c r="B157">
        <v>6</v>
      </c>
      <c r="C157">
        <v>26</v>
      </c>
      <c r="D157">
        <v>12</v>
      </c>
      <c r="E157" s="1">
        <v>2307</v>
      </c>
      <c r="F157">
        <v>8</v>
      </c>
    </row>
    <row r="158" spans="1:6" x14ac:dyDescent="0.3">
      <c r="A158" t="s">
        <v>162</v>
      </c>
      <c r="B158">
        <v>9</v>
      </c>
      <c r="C158">
        <v>40</v>
      </c>
      <c r="D158">
        <v>12</v>
      </c>
      <c r="E158" s="1">
        <v>2301</v>
      </c>
      <c r="F158">
        <v>4</v>
      </c>
    </row>
    <row r="159" spans="1:6" x14ac:dyDescent="0.3">
      <c r="A159" t="s">
        <v>163</v>
      </c>
      <c r="B159">
        <v>3</v>
      </c>
      <c r="C159">
        <v>9</v>
      </c>
      <c r="D159">
        <v>7</v>
      </c>
      <c r="E159" s="1">
        <v>2294</v>
      </c>
      <c r="F159">
        <v>13</v>
      </c>
    </row>
    <row r="160" spans="1:6" x14ac:dyDescent="0.3">
      <c r="A160" t="s">
        <v>164</v>
      </c>
      <c r="B160">
        <v>3</v>
      </c>
      <c r="C160">
        <v>23</v>
      </c>
      <c r="D160">
        <v>4</v>
      </c>
      <c r="E160" s="1">
        <v>2300</v>
      </c>
      <c r="F160">
        <v>11</v>
      </c>
    </row>
    <row r="161" spans="1:6" x14ac:dyDescent="0.3">
      <c r="A161" t="s">
        <v>165</v>
      </c>
      <c r="B161">
        <v>7</v>
      </c>
      <c r="C161">
        <v>19</v>
      </c>
      <c r="D161">
        <v>14</v>
      </c>
      <c r="E161" s="1">
        <v>2305</v>
      </c>
      <c r="F161">
        <v>17</v>
      </c>
    </row>
    <row r="162" spans="1:6" x14ac:dyDescent="0.3">
      <c r="A162" t="s">
        <v>166</v>
      </c>
      <c r="B162">
        <v>10</v>
      </c>
      <c r="C162">
        <v>25</v>
      </c>
      <c r="D162">
        <v>5</v>
      </c>
      <c r="E162" s="1">
        <v>2308</v>
      </c>
      <c r="F162">
        <v>6</v>
      </c>
    </row>
    <row r="163" spans="1:6" x14ac:dyDescent="0.3">
      <c r="A163" t="s">
        <v>167</v>
      </c>
      <c r="B163">
        <v>4</v>
      </c>
      <c r="C163">
        <v>15</v>
      </c>
      <c r="D163">
        <v>6</v>
      </c>
      <c r="E163" s="1">
        <v>2305</v>
      </c>
      <c r="F163">
        <v>4</v>
      </c>
    </row>
    <row r="164" spans="1:6" x14ac:dyDescent="0.3">
      <c r="A164" t="s">
        <v>168</v>
      </c>
      <c r="B164">
        <v>7</v>
      </c>
      <c r="C164">
        <v>26</v>
      </c>
      <c r="D164">
        <v>10</v>
      </c>
      <c r="E164" s="1">
        <v>2288</v>
      </c>
      <c r="F164">
        <v>14</v>
      </c>
    </row>
    <row r="165" spans="1:6" x14ac:dyDescent="0.3">
      <c r="A165" t="s">
        <v>169</v>
      </c>
      <c r="B165">
        <v>11</v>
      </c>
      <c r="C165">
        <v>30</v>
      </c>
      <c r="D165">
        <v>5</v>
      </c>
      <c r="E165" s="1">
        <v>2291</v>
      </c>
      <c r="F165">
        <v>8</v>
      </c>
    </row>
    <row r="166" spans="1:6" x14ac:dyDescent="0.3">
      <c r="A166" t="s">
        <v>170</v>
      </c>
      <c r="B166">
        <v>4</v>
      </c>
      <c r="C166">
        <v>19</v>
      </c>
      <c r="D166">
        <v>12</v>
      </c>
      <c r="E166" s="1">
        <v>2286</v>
      </c>
      <c r="F166">
        <v>7</v>
      </c>
    </row>
    <row r="167" spans="1:6" x14ac:dyDescent="0.3">
      <c r="A167" t="s">
        <v>171</v>
      </c>
      <c r="B167">
        <v>5</v>
      </c>
      <c r="C167">
        <v>26</v>
      </c>
      <c r="D167">
        <v>9</v>
      </c>
      <c r="E167" s="1">
        <v>2282</v>
      </c>
      <c r="F167">
        <v>13</v>
      </c>
    </row>
    <row r="168" spans="1:6" x14ac:dyDescent="0.3">
      <c r="A168" t="s">
        <v>172</v>
      </c>
      <c r="B168">
        <v>5</v>
      </c>
      <c r="C168">
        <v>26</v>
      </c>
      <c r="D168">
        <v>10</v>
      </c>
      <c r="E168" s="1">
        <v>2283</v>
      </c>
      <c r="F168">
        <v>3</v>
      </c>
    </row>
    <row r="169" spans="1:6" x14ac:dyDescent="0.3">
      <c r="A169" t="s">
        <v>173</v>
      </c>
      <c r="B169">
        <v>8</v>
      </c>
      <c r="C169">
        <v>22</v>
      </c>
      <c r="D169">
        <v>8</v>
      </c>
      <c r="E169" s="1">
        <v>2267</v>
      </c>
      <c r="F169">
        <v>9</v>
      </c>
    </row>
    <row r="170" spans="1:6" x14ac:dyDescent="0.3">
      <c r="A170" t="s">
        <v>174</v>
      </c>
      <c r="B170">
        <v>18</v>
      </c>
      <c r="C170">
        <v>25</v>
      </c>
      <c r="D170">
        <v>17</v>
      </c>
      <c r="E170" s="1">
        <v>2265</v>
      </c>
      <c r="F170">
        <v>6</v>
      </c>
    </row>
    <row r="171" spans="1:6" x14ac:dyDescent="0.3">
      <c r="A171" t="s">
        <v>175</v>
      </c>
      <c r="B171">
        <v>6</v>
      </c>
      <c r="C171">
        <v>19</v>
      </c>
      <c r="D171">
        <v>10</v>
      </c>
      <c r="E171" s="1">
        <v>2251</v>
      </c>
      <c r="F171">
        <v>5</v>
      </c>
    </row>
    <row r="172" spans="1:6" x14ac:dyDescent="0.3">
      <c r="A172" t="s">
        <v>176</v>
      </c>
      <c r="B172">
        <v>12</v>
      </c>
      <c r="C172">
        <v>34</v>
      </c>
      <c r="D172">
        <v>12</v>
      </c>
      <c r="E172" s="1">
        <v>2243</v>
      </c>
      <c r="F172">
        <v>9</v>
      </c>
    </row>
    <row r="173" spans="1:6" x14ac:dyDescent="0.3">
      <c r="A173" t="s">
        <v>177</v>
      </c>
      <c r="B173">
        <v>12</v>
      </c>
      <c r="C173">
        <v>22</v>
      </c>
      <c r="D173">
        <v>9</v>
      </c>
      <c r="E173" s="1">
        <v>2237</v>
      </c>
      <c r="F173">
        <v>5</v>
      </c>
    </row>
    <row r="174" spans="1:6" x14ac:dyDescent="0.3">
      <c r="A174" t="s">
        <v>178</v>
      </c>
      <c r="B174">
        <v>7</v>
      </c>
      <c r="C174">
        <v>14</v>
      </c>
      <c r="D174">
        <v>7</v>
      </c>
      <c r="E174" s="1">
        <v>2234</v>
      </c>
      <c r="F174">
        <v>11</v>
      </c>
    </row>
    <row r="175" spans="1:6" x14ac:dyDescent="0.3">
      <c r="A175" t="s">
        <v>179</v>
      </c>
      <c r="B175">
        <v>12</v>
      </c>
      <c r="C175">
        <v>26</v>
      </c>
      <c r="D175">
        <v>18</v>
      </c>
      <c r="E175" s="1">
        <v>2223</v>
      </c>
      <c r="F175">
        <v>8</v>
      </c>
    </row>
    <row r="176" spans="1:6" x14ac:dyDescent="0.3">
      <c r="A176" t="s">
        <v>180</v>
      </c>
      <c r="B176">
        <v>5</v>
      </c>
      <c r="C176">
        <v>31</v>
      </c>
      <c r="D176">
        <v>16</v>
      </c>
      <c r="E176" s="1">
        <v>2208</v>
      </c>
      <c r="F176">
        <v>3</v>
      </c>
    </row>
    <row r="177" spans="1:6" x14ac:dyDescent="0.3">
      <c r="A177" t="s">
        <v>181</v>
      </c>
      <c r="B177">
        <v>17</v>
      </c>
      <c r="C177">
        <v>36</v>
      </c>
      <c r="D177">
        <v>7</v>
      </c>
      <c r="E177" s="1">
        <v>2191</v>
      </c>
      <c r="F177">
        <v>12</v>
      </c>
    </row>
    <row r="178" spans="1:6" x14ac:dyDescent="0.3">
      <c r="A178" t="s">
        <v>182</v>
      </c>
      <c r="B178">
        <v>9</v>
      </c>
      <c r="C178">
        <v>25</v>
      </c>
      <c r="D178">
        <v>8</v>
      </c>
      <c r="E178" s="1">
        <v>2193</v>
      </c>
      <c r="F178">
        <v>5</v>
      </c>
    </row>
    <row r="179" spans="1:6" x14ac:dyDescent="0.3">
      <c r="A179" t="s">
        <v>183</v>
      </c>
      <c r="B179">
        <v>9</v>
      </c>
      <c r="C179">
        <v>20</v>
      </c>
      <c r="D179">
        <v>5</v>
      </c>
      <c r="E179" s="1">
        <v>2188</v>
      </c>
      <c r="F179">
        <v>2</v>
      </c>
    </row>
    <row r="180" spans="1:6" x14ac:dyDescent="0.3">
      <c r="A180" t="s">
        <v>184</v>
      </c>
      <c r="B180">
        <v>1</v>
      </c>
      <c r="C180">
        <v>19</v>
      </c>
      <c r="D180">
        <v>13</v>
      </c>
      <c r="E180" s="1">
        <v>2159</v>
      </c>
      <c r="F180">
        <v>2</v>
      </c>
    </row>
    <row r="181" spans="1:6" x14ac:dyDescent="0.3">
      <c r="A181" t="s">
        <v>185</v>
      </c>
      <c r="B181">
        <v>9</v>
      </c>
      <c r="C181">
        <v>21</v>
      </c>
      <c r="D181">
        <v>15</v>
      </c>
      <c r="E181" s="1">
        <v>2159</v>
      </c>
      <c r="F181">
        <v>2</v>
      </c>
    </row>
    <row r="182" spans="1:6" x14ac:dyDescent="0.3">
      <c r="A182" t="s">
        <v>186</v>
      </c>
      <c r="B182">
        <v>12</v>
      </c>
      <c r="C182">
        <v>19</v>
      </c>
      <c r="D182">
        <v>7</v>
      </c>
      <c r="E182" s="1">
        <v>2145</v>
      </c>
      <c r="F182">
        <v>6</v>
      </c>
    </row>
    <row r="183" spans="1:6" x14ac:dyDescent="0.3">
      <c r="A183" t="s">
        <v>187</v>
      </c>
      <c r="B183">
        <v>7</v>
      </c>
      <c r="C183">
        <v>13</v>
      </c>
      <c r="D183">
        <v>11</v>
      </c>
      <c r="E183" s="1">
        <v>2139</v>
      </c>
      <c r="F183">
        <v>7</v>
      </c>
    </row>
    <row r="184" spans="1:6" x14ac:dyDescent="0.3">
      <c r="A184" t="s">
        <v>188</v>
      </c>
      <c r="B184">
        <v>15</v>
      </c>
      <c r="C184">
        <v>29</v>
      </c>
      <c r="D184">
        <v>9</v>
      </c>
      <c r="E184" s="1">
        <v>2136</v>
      </c>
      <c r="F184">
        <v>2</v>
      </c>
    </row>
    <row r="185" spans="1:6" x14ac:dyDescent="0.3">
      <c r="A185" t="s">
        <v>189</v>
      </c>
      <c r="B185">
        <v>9</v>
      </c>
      <c r="C185">
        <v>20</v>
      </c>
      <c r="D185">
        <v>11</v>
      </c>
      <c r="E185" s="1">
        <v>2124</v>
      </c>
      <c r="F185">
        <v>7</v>
      </c>
    </row>
    <row r="186" spans="1:6" x14ac:dyDescent="0.3">
      <c r="A186" t="s">
        <v>190</v>
      </c>
      <c r="B186">
        <v>6</v>
      </c>
      <c r="C186">
        <v>22</v>
      </c>
      <c r="D186">
        <v>14</v>
      </c>
      <c r="E186" s="1">
        <v>2119</v>
      </c>
      <c r="F186">
        <v>9</v>
      </c>
    </row>
    <row r="187" spans="1:6" x14ac:dyDescent="0.3">
      <c r="A187" t="s">
        <v>191</v>
      </c>
      <c r="B187">
        <v>19</v>
      </c>
      <c r="C187">
        <v>34</v>
      </c>
      <c r="D187">
        <v>6</v>
      </c>
      <c r="E187" s="1">
        <v>2109</v>
      </c>
      <c r="F187">
        <v>8</v>
      </c>
    </row>
    <row r="188" spans="1:6" x14ac:dyDescent="0.3">
      <c r="A188" t="s">
        <v>192</v>
      </c>
      <c r="B188">
        <v>5</v>
      </c>
      <c r="C188">
        <v>14</v>
      </c>
      <c r="D188">
        <v>0</v>
      </c>
      <c r="E188" s="1">
        <v>2111</v>
      </c>
      <c r="F188">
        <v>8</v>
      </c>
    </row>
    <row r="189" spans="1:6" x14ac:dyDescent="0.3">
      <c r="A189" t="s">
        <v>193</v>
      </c>
      <c r="B189">
        <v>1</v>
      </c>
      <c r="C189">
        <v>9</v>
      </c>
      <c r="D189">
        <v>8</v>
      </c>
      <c r="E189" s="1">
        <v>2117</v>
      </c>
      <c r="F189">
        <v>5</v>
      </c>
    </row>
    <row r="190" spans="1:6" x14ac:dyDescent="0.3">
      <c r="A190" t="s">
        <v>194</v>
      </c>
      <c r="B190">
        <v>4</v>
      </c>
      <c r="C190">
        <v>20</v>
      </c>
      <c r="D190">
        <v>9</v>
      </c>
      <c r="E190" s="1">
        <v>2116</v>
      </c>
      <c r="F190">
        <v>6</v>
      </c>
    </row>
    <row r="191" spans="1:6" x14ac:dyDescent="0.3">
      <c r="A191" t="s">
        <v>195</v>
      </c>
      <c r="B191">
        <v>6</v>
      </c>
      <c r="C191">
        <v>18</v>
      </c>
      <c r="D191">
        <v>2</v>
      </c>
      <c r="E191" s="1">
        <v>2113</v>
      </c>
      <c r="F191">
        <v>8</v>
      </c>
    </row>
    <row r="192" spans="1:6" x14ac:dyDescent="0.3">
      <c r="A192" t="s">
        <v>196</v>
      </c>
      <c r="B192">
        <v>3</v>
      </c>
      <c r="C192">
        <v>11</v>
      </c>
      <c r="D192">
        <v>7</v>
      </c>
      <c r="E192" s="1">
        <v>2116</v>
      </c>
      <c r="F192">
        <v>20</v>
      </c>
    </row>
    <row r="193" spans="1:6" x14ac:dyDescent="0.3">
      <c r="A193" t="s">
        <v>197</v>
      </c>
      <c r="B193">
        <v>6</v>
      </c>
      <c r="C193">
        <v>28</v>
      </c>
      <c r="D193">
        <v>8</v>
      </c>
      <c r="E193" s="1">
        <v>2125</v>
      </c>
      <c r="F193">
        <v>23</v>
      </c>
    </row>
    <row r="194" spans="1:6" x14ac:dyDescent="0.3">
      <c r="A194" t="s">
        <v>198</v>
      </c>
      <c r="B194">
        <v>12</v>
      </c>
      <c r="C194">
        <v>25</v>
      </c>
      <c r="D194">
        <v>15</v>
      </c>
      <c r="E194" s="1">
        <v>2137</v>
      </c>
      <c r="F194">
        <v>30</v>
      </c>
    </row>
    <row r="195" spans="1:6" x14ac:dyDescent="0.3">
      <c r="A195" t="s">
        <v>199</v>
      </c>
      <c r="B195">
        <v>7</v>
      </c>
      <c r="C195">
        <v>27</v>
      </c>
      <c r="D195">
        <v>6</v>
      </c>
      <c r="E195" s="1">
        <v>2218</v>
      </c>
      <c r="F195">
        <v>33</v>
      </c>
    </row>
    <row r="196" spans="1:6" x14ac:dyDescent="0.3">
      <c r="A196" t="s">
        <v>200</v>
      </c>
      <c r="B196">
        <v>5</v>
      </c>
      <c r="C196">
        <v>20</v>
      </c>
      <c r="D196">
        <v>4</v>
      </c>
      <c r="E196" s="1">
        <v>2238</v>
      </c>
      <c r="F196">
        <v>40</v>
      </c>
    </row>
    <row r="197" spans="1:6" x14ac:dyDescent="0.3">
      <c r="A197" t="s">
        <v>201</v>
      </c>
      <c r="B197">
        <v>4</v>
      </c>
      <c r="C197">
        <v>25</v>
      </c>
      <c r="D197">
        <v>10</v>
      </c>
      <c r="E197" s="1">
        <v>2272</v>
      </c>
      <c r="F197">
        <v>30</v>
      </c>
    </row>
    <row r="198" spans="1:6" x14ac:dyDescent="0.3">
      <c r="A198" t="s">
        <v>202</v>
      </c>
      <c r="B198">
        <v>8</v>
      </c>
      <c r="C198">
        <v>29</v>
      </c>
      <c r="D198">
        <v>18</v>
      </c>
      <c r="E198" s="1">
        <v>2287</v>
      </c>
      <c r="F198">
        <v>25</v>
      </c>
    </row>
    <row r="199" spans="1:6" x14ac:dyDescent="0.3">
      <c r="A199" t="s">
        <v>203</v>
      </c>
      <c r="B199">
        <v>12</v>
      </c>
      <c r="C199">
        <v>24</v>
      </c>
      <c r="D199">
        <v>4</v>
      </c>
      <c r="E199" s="1">
        <v>2297</v>
      </c>
      <c r="F199">
        <v>31</v>
      </c>
    </row>
    <row r="200" spans="1:6" x14ac:dyDescent="0.3">
      <c r="A200" t="s">
        <v>204</v>
      </c>
      <c r="B200">
        <v>10</v>
      </c>
      <c r="C200">
        <v>15</v>
      </c>
      <c r="D200">
        <v>17</v>
      </c>
      <c r="E200" s="1">
        <v>2391</v>
      </c>
      <c r="F200">
        <v>37</v>
      </c>
    </row>
    <row r="201" spans="1:6" x14ac:dyDescent="0.3">
      <c r="A201" t="s">
        <v>205</v>
      </c>
      <c r="B201">
        <v>12</v>
      </c>
      <c r="C201">
        <v>21</v>
      </c>
      <c r="D201">
        <v>1</v>
      </c>
      <c r="E201" s="1">
        <v>2411</v>
      </c>
      <c r="F201">
        <v>23</v>
      </c>
    </row>
    <row r="202" spans="1:6" x14ac:dyDescent="0.3">
      <c r="A202" t="s">
        <v>206</v>
      </c>
      <c r="B202">
        <v>11</v>
      </c>
      <c r="C202">
        <v>7</v>
      </c>
      <c r="D202">
        <v>7</v>
      </c>
      <c r="E202" s="1">
        <v>2413</v>
      </c>
      <c r="F202">
        <v>23</v>
      </c>
    </row>
    <row r="203" spans="1:6" x14ac:dyDescent="0.3">
      <c r="A203" t="s">
        <v>207</v>
      </c>
      <c r="B203">
        <v>20</v>
      </c>
      <c r="C203">
        <v>22</v>
      </c>
      <c r="D203">
        <v>14</v>
      </c>
      <c r="E203" s="1">
        <v>2413</v>
      </c>
      <c r="F203">
        <v>24</v>
      </c>
    </row>
    <row r="204" spans="1:6" x14ac:dyDescent="0.3">
      <c r="A204" t="s">
        <v>208</v>
      </c>
      <c r="B204">
        <v>7</v>
      </c>
      <c r="C204">
        <v>16</v>
      </c>
      <c r="D204">
        <v>8</v>
      </c>
      <c r="E204" s="1">
        <v>2423</v>
      </c>
      <c r="F204">
        <v>35</v>
      </c>
    </row>
    <row r="205" spans="1:6" x14ac:dyDescent="0.3">
      <c r="A205" t="s">
        <v>209</v>
      </c>
      <c r="B205">
        <v>13</v>
      </c>
      <c r="C205">
        <v>25</v>
      </c>
      <c r="D205">
        <v>15</v>
      </c>
      <c r="E205" s="1">
        <v>2520</v>
      </c>
      <c r="F205">
        <v>32</v>
      </c>
    </row>
    <row r="206" spans="1:6" x14ac:dyDescent="0.3">
      <c r="A206" t="s">
        <v>210</v>
      </c>
      <c r="B206">
        <v>12</v>
      </c>
      <c r="C206">
        <v>17</v>
      </c>
      <c r="D206">
        <v>17</v>
      </c>
      <c r="E206" s="1">
        <v>2528</v>
      </c>
      <c r="F206">
        <v>19</v>
      </c>
    </row>
    <row r="207" spans="1:6" x14ac:dyDescent="0.3">
      <c r="A207" t="s">
        <v>211</v>
      </c>
      <c r="B207">
        <v>18</v>
      </c>
      <c r="C207">
        <v>19</v>
      </c>
      <c r="D207">
        <v>11</v>
      </c>
      <c r="E207" s="1">
        <v>2536</v>
      </c>
      <c r="F207">
        <v>9</v>
      </c>
    </row>
    <row r="208" spans="1:6" x14ac:dyDescent="0.3">
      <c r="A208" t="s">
        <v>212</v>
      </c>
      <c r="B208">
        <v>8</v>
      </c>
      <c r="C208">
        <v>17</v>
      </c>
      <c r="D208">
        <v>14</v>
      </c>
      <c r="E208" s="1">
        <v>2532</v>
      </c>
      <c r="F208">
        <v>15</v>
      </c>
    </row>
    <row r="209" spans="1:6" x14ac:dyDescent="0.3">
      <c r="A209" t="s">
        <v>213</v>
      </c>
      <c r="B209">
        <v>15</v>
      </c>
      <c r="C209">
        <v>10</v>
      </c>
      <c r="D209">
        <v>23</v>
      </c>
      <c r="E209" s="1">
        <v>2703</v>
      </c>
      <c r="F209">
        <v>72</v>
      </c>
    </row>
    <row r="210" spans="1:6" x14ac:dyDescent="0.3">
      <c r="A210" t="s">
        <v>214</v>
      </c>
      <c r="B210">
        <v>16</v>
      </c>
      <c r="C210">
        <v>20</v>
      </c>
      <c r="D210">
        <v>20</v>
      </c>
      <c r="E210" s="1">
        <v>2752</v>
      </c>
      <c r="F210">
        <v>66</v>
      </c>
    </row>
    <row r="211" spans="1:6" x14ac:dyDescent="0.3">
      <c r="A211" t="s">
        <v>215</v>
      </c>
      <c r="B211">
        <v>11</v>
      </c>
      <c r="C211">
        <v>22</v>
      </c>
      <c r="D211">
        <v>12</v>
      </c>
      <c r="E211" s="1">
        <v>2799</v>
      </c>
      <c r="F211">
        <v>50</v>
      </c>
    </row>
    <row r="212" spans="1:6" x14ac:dyDescent="0.3">
      <c r="A212" t="s">
        <v>216</v>
      </c>
      <c r="B212">
        <v>16</v>
      </c>
      <c r="C212">
        <v>18</v>
      </c>
      <c r="D212">
        <v>15</v>
      </c>
      <c r="E212" s="1">
        <v>2834</v>
      </c>
      <c r="F212">
        <v>63</v>
      </c>
    </row>
    <row r="213" spans="1:6" x14ac:dyDescent="0.3">
      <c r="A213" t="s">
        <v>217</v>
      </c>
      <c r="B213">
        <v>15</v>
      </c>
      <c r="C213">
        <v>13</v>
      </c>
      <c r="D213">
        <v>23</v>
      </c>
      <c r="E213" s="1">
        <v>2878</v>
      </c>
      <c r="F213">
        <v>99</v>
      </c>
    </row>
    <row r="214" spans="1:6" x14ac:dyDescent="0.3">
      <c r="A214" t="s">
        <v>218</v>
      </c>
      <c r="B214">
        <v>25</v>
      </c>
      <c r="C214">
        <v>32</v>
      </c>
      <c r="D214">
        <v>27</v>
      </c>
      <c r="E214" s="1">
        <v>3181</v>
      </c>
      <c r="F214">
        <v>145</v>
      </c>
    </row>
    <row r="215" spans="1:6" x14ac:dyDescent="0.3">
      <c r="A215" t="s">
        <v>219</v>
      </c>
      <c r="B215">
        <v>26</v>
      </c>
      <c r="C215">
        <v>36</v>
      </c>
      <c r="D215">
        <v>36</v>
      </c>
      <c r="E215" s="1">
        <v>3290</v>
      </c>
      <c r="F215">
        <v>104</v>
      </c>
    </row>
    <row r="216" spans="1:6" x14ac:dyDescent="0.3">
      <c r="A216" t="s">
        <v>220</v>
      </c>
      <c r="B216">
        <v>34</v>
      </c>
      <c r="C216">
        <v>54</v>
      </c>
      <c r="D216">
        <v>29</v>
      </c>
      <c r="E216" s="1">
        <v>3359</v>
      </c>
      <c r="F216">
        <v>74</v>
      </c>
    </row>
    <row r="217" spans="1:6" x14ac:dyDescent="0.3">
      <c r="A217" t="s">
        <v>221</v>
      </c>
      <c r="B217">
        <v>23</v>
      </c>
      <c r="C217">
        <v>45</v>
      </c>
      <c r="D217">
        <v>11</v>
      </c>
      <c r="E217" s="1">
        <v>3403</v>
      </c>
      <c r="F217">
        <v>102</v>
      </c>
    </row>
    <row r="218" spans="1:6" x14ac:dyDescent="0.3">
      <c r="A218" t="s">
        <v>222</v>
      </c>
      <c r="B218">
        <v>20</v>
      </c>
      <c r="C218">
        <v>22</v>
      </c>
      <c r="D218">
        <v>41</v>
      </c>
      <c r="E218" s="1">
        <v>3483</v>
      </c>
      <c r="F218">
        <v>168</v>
      </c>
    </row>
    <row r="219" spans="1:6" x14ac:dyDescent="0.3">
      <c r="A219" t="s">
        <v>223</v>
      </c>
      <c r="B219">
        <v>47</v>
      </c>
      <c r="C219">
        <v>42</v>
      </c>
      <c r="D219">
        <v>47</v>
      </c>
      <c r="E219" s="1">
        <v>3923</v>
      </c>
      <c r="F219">
        <v>159</v>
      </c>
    </row>
    <row r="220" spans="1:6" x14ac:dyDescent="0.3">
      <c r="A220" t="s">
        <v>224</v>
      </c>
      <c r="B220">
        <v>32</v>
      </c>
      <c r="C220">
        <v>50</v>
      </c>
      <c r="D220">
        <v>39</v>
      </c>
      <c r="E220" s="1">
        <v>4036</v>
      </c>
      <c r="F220">
        <v>99</v>
      </c>
    </row>
    <row r="221" spans="1:6" x14ac:dyDescent="0.3">
      <c r="A221" t="s">
        <v>225</v>
      </c>
      <c r="B221">
        <v>32</v>
      </c>
      <c r="C221">
        <v>49</v>
      </c>
      <c r="D221">
        <v>39</v>
      </c>
      <c r="E221" s="1">
        <v>4096</v>
      </c>
      <c r="F221">
        <v>101</v>
      </c>
    </row>
    <row r="222" spans="1:6" x14ac:dyDescent="0.3">
      <c r="A222" t="s">
        <v>226</v>
      </c>
      <c r="B222">
        <v>33</v>
      </c>
      <c r="C222">
        <v>53</v>
      </c>
      <c r="D222">
        <v>34</v>
      </c>
      <c r="E222" s="1">
        <v>4161</v>
      </c>
      <c r="F222">
        <v>127</v>
      </c>
    </row>
    <row r="223" spans="1:6" x14ac:dyDescent="0.3">
      <c r="A223" t="s">
        <v>227</v>
      </c>
      <c r="B223">
        <v>29</v>
      </c>
      <c r="C223">
        <v>51</v>
      </c>
      <c r="D223">
        <v>11</v>
      </c>
      <c r="E223" s="1">
        <v>4241</v>
      </c>
      <c r="F223">
        <v>182</v>
      </c>
    </row>
    <row r="224" spans="1:6" x14ac:dyDescent="0.3">
      <c r="A224" t="s">
        <v>228</v>
      </c>
      <c r="B224">
        <v>91</v>
      </c>
      <c r="C224">
        <v>75</v>
      </c>
      <c r="D224">
        <v>97</v>
      </c>
      <c r="E224" s="1">
        <v>4621</v>
      </c>
      <c r="F224">
        <v>174</v>
      </c>
    </row>
    <row r="225" spans="1:6" x14ac:dyDescent="0.3">
      <c r="A225" t="s">
        <v>229</v>
      </c>
      <c r="B225">
        <v>62</v>
      </c>
      <c r="C225">
        <v>97</v>
      </c>
      <c r="D225">
        <v>52</v>
      </c>
      <c r="E225" s="1">
        <v>4717</v>
      </c>
      <c r="F225">
        <v>83</v>
      </c>
    </row>
    <row r="226" spans="1:6" x14ac:dyDescent="0.3">
      <c r="A226" t="s">
        <v>230</v>
      </c>
      <c r="B226">
        <v>59</v>
      </c>
      <c r="C226">
        <v>64</v>
      </c>
      <c r="D226">
        <v>117</v>
      </c>
      <c r="E226" s="1">
        <v>4728</v>
      </c>
      <c r="F226">
        <v>54</v>
      </c>
    </row>
    <row r="227" spans="1:6" x14ac:dyDescent="0.3">
      <c r="A227" t="s">
        <v>231</v>
      </c>
      <c r="B227">
        <v>84</v>
      </c>
      <c r="C227">
        <v>118</v>
      </c>
      <c r="D227">
        <v>136</v>
      </c>
      <c r="E227" s="1">
        <v>4638</v>
      </c>
      <c r="F227">
        <v>127</v>
      </c>
    </row>
    <row r="228" spans="1:6" x14ac:dyDescent="0.3">
      <c r="A228" t="s">
        <v>232</v>
      </c>
      <c r="B228">
        <v>86</v>
      </c>
      <c r="C228">
        <v>152</v>
      </c>
      <c r="D228">
        <v>168</v>
      </c>
      <c r="E228" s="1">
        <v>4628</v>
      </c>
      <c r="F228">
        <v>176</v>
      </c>
    </row>
    <row r="229" spans="1:6" x14ac:dyDescent="0.3">
      <c r="A229" t="s">
        <v>233</v>
      </c>
      <c r="B229">
        <v>106</v>
      </c>
      <c r="C229">
        <v>196</v>
      </c>
      <c r="D229">
        <v>131</v>
      </c>
      <c r="E229" s="1">
        <v>4881</v>
      </c>
      <c r="F229">
        <v>159</v>
      </c>
    </row>
    <row r="230" spans="1:6" x14ac:dyDescent="0.3">
      <c r="A230" t="s">
        <v>234</v>
      </c>
      <c r="B230">
        <v>113</v>
      </c>
      <c r="C230">
        <v>162</v>
      </c>
      <c r="D230">
        <v>107</v>
      </c>
      <c r="E230" s="1">
        <v>4903</v>
      </c>
      <c r="F230">
        <v>164</v>
      </c>
    </row>
    <row r="231" spans="1:6" x14ac:dyDescent="0.3">
      <c r="A231" t="s">
        <v>235</v>
      </c>
      <c r="B231">
        <v>92</v>
      </c>
      <c r="C231">
        <v>124</v>
      </c>
      <c r="D231">
        <v>93</v>
      </c>
      <c r="E231" s="1">
        <v>4957</v>
      </c>
      <c r="F231">
        <v>139</v>
      </c>
    </row>
    <row r="232" spans="1:6" x14ac:dyDescent="0.3">
      <c r="A232" t="s">
        <v>236</v>
      </c>
      <c r="B232">
        <v>68</v>
      </c>
      <c r="C232">
        <v>107</v>
      </c>
      <c r="D232">
        <v>102</v>
      </c>
      <c r="E232" s="1">
        <v>5019</v>
      </c>
      <c r="F232">
        <v>181</v>
      </c>
    </row>
    <row r="233" spans="1:6" x14ac:dyDescent="0.3">
      <c r="A233" t="s">
        <v>237</v>
      </c>
      <c r="B233">
        <v>74</v>
      </c>
      <c r="C233">
        <v>103</v>
      </c>
      <c r="D233">
        <v>80</v>
      </c>
      <c r="E233" s="1">
        <v>5092</v>
      </c>
      <c r="F233">
        <v>235</v>
      </c>
    </row>
    <row r="234" spans="1:6" x14ac:dyDescent="0.3">
      <c r="A234" t="s">
        <v>238</v>
      </c>
      <c r="B234">
        <v>56</v>
      </c>
      <c r="C234">
        <v>82</v>
      </c>
      <c r="D234">
        <v>68</v>
      </c>
      <c r="E234" s="1">
        <v>5507</v>
      </c>
      <c r="F234">
        <v>164</v>
      </c>
    </row>
    <row r="235" spans="1:6" x14ac:dyDescent="0.3">
      <c r="A235" t="s">
        <v>239</v>
      </c>
      <c r="B235">
        <v>38</v>
      </c>
      <c r="C235">
        <v>80</v>
      </c>
      <c r="D235">
        <v>82</v>
      </c>
      <c r="E235" s="1">
        <v>5605</v>
      </c>
      <c r="F235">
        <v>184</v>
      </c>
    </row>
    <row r="236" spans="1:6" x14ac:dyDescent="0.3">
      <c r="A236" t="s">
        <v>240</v>
      </c>
      <c r="B236">
        <v>65</v>
      </c>
      <c r="C236">
        <v>83</v>
      </c>
      <c r="D236">
        <v>65</v>
      </c>
      <c r="E236" s="1">
        <v>5703</v>
      </c>
      <c r="F236">
        <v>133</v>
      </c>
    </row>
    <row r="237" spans="1:6" x14ac:dyDescent="0.3">
      <c r="A237" t="s">
        <v>241</v>
      </c>
      <c r="B237">
        <v>41</v>
      </c>
      <c r="C237">
        <v>60</v>
      </c>
      <c r="D237">
        <v>71</v>
      </c>
      <c r="E237" s="1">
        <v>5769</v>
      </c>
      <c r="F237">
        <v>190</v>
      </c>
    </row>
    <row r="238" spans="1:6" x14ac:dyDescent="0.3">
      <c r="A238" t="s">
        <v>242</v>
      </c>
      <c r="B238">
        <v>43</v>
      </c>
      <c r="C238">
        <v>73</v>
      </c>
      <c r="D238">
        <v>64</v>
      </c>
      <c r="E238" s="1">
        <v>5882</v>
      </c>
      <c r="F238">
        <v>185</v>
      </c>
    </row>
    <row r="239" spans="1:6" x14ac:dyDescent="0.3">
      <c r="A239" t="s">
        <v>243</v>
      </c>
      <c r="B239">
        <v>35</v>
      </c>
      <c r="C239">
        <v>70</v>
      </c>
      <c r="D239">
        <v>53</v>
      </c>
      <c r="E239" s="1">
        <v>6292</v>
      </c>
      <c r="F239">
        <v>170</v>
      </c>
    </row>
    <row r="240" spans="1:6" x14ac:dyDescent="0.3">
      <c r="A240" t="s">
        <v>244</v>
      </c>
      <c r="B240">
        <v>25</v>
      </c>
      <c r="C240">
        <v>66</v>
      </c>
      <c r="D240">
        <v>94</v>
      </c>
      <c r="E240" s="1">
        <v>6405</v>
      </c>
      <c r="F240">
        <v>144</v>
      </c>
    </row>
    <row r="241" spans="1:6" x14ac:dyDescent="0.3">
      <c r="A241" t="s">
        <v>245</v>
      </c>
      <c r="B241">
        <v>99</v>
      </c>
      <c r="C241">
        <v>156</v>
      </c>
      <c r="D241">
        <v>139</v>
      </c>
      <c r="E241" s="1">
        <v>6454</v>
      </c>
      <c r="F241">
        <v>177</v>
      </c>
    </row>
    <row r="242" spans="1:6" x14ac:dyDescent="0.3">
      <c r="A242" t="s">
        <v>246</v>
      </c>
      <c r="B242">
        <v>107</v>
      </c>
      <c r="C242">
        <v>170</v>
      </c>
      <c r="D242">
        <v>133</v>
      </c>
      <c r="E242" s="1">
        <v>6465</v>
      </c>
      <c r="F242">
        <v>216</v>
      </c>
    </row>
    <row r="243" spans="1:6" x14ac:dyDescent="0.3">
      <c r="A243" t="s">
        <v>247</v>
      </c>
      <c r="B243">
        <v>80</v>
      </c>
      <c r="C243">
        <v>122</v>
      </c>
      <c r="D243">
        <v>152</v>
      </c>
      <c r="E243" s="1">
        <v>6707</v>
      </c>
      <c r="F243">
        <v>135</v>
      </c>
    </row>
    <row r="244" spans="1:6" x14ac:dyDescent="0.3">
      <c r="A244" t="s">
        <v>248</v>
      </c>
      <c r="B244">
        <v>57</v>
      </c>
      <c r="C244">
        <v>162</v>
      </c>
      <c r="D244">
        <v>193</v>
      </c>
      <c r="E244" s="1">
        <v>6689</v>
      </c>
      <c r="F244">
        <v>107</v>
      </c>
    </row>
    <row r="245" spans="1:6" x14ac:dyDescent="0.3">
      <c r="A245" t="s">
        <v>249</v>
      </c>
      <c r="B245">
        <v>161</v>
      </c>
      <c r="C245">
        <v>304</v>
      </c>
      <c r="D245">
        <v>211</v>
      </c>
      <c r="E245" s="1">
        <v>6622</v>
      </c>
      <c r="F245">
        <v>155</v>
      </c>
    </row>
    <row r="246" spans="1:6" x14ac:dyDescent="0.3">
      <c r="A246" t="s">
        <v>250</v>
      </c>
      <c r="B246">
        <v>205</v>
      </c>
      <c r="C246">
        <v>294</v>
      </c>
      <c r="D246">
        <v>177</v>
      </c>
      <c r="E246" s="1">
        <v>6548</v>
      </c>
      <c r="F246">
        <v>231</v>
      </c>
    </row>
    <row r="247" spans="1:6" x14ac:dyDescent="0.3">
      <c r="A247" t="s">
        <v>251</v>
      </c>
      <c r="B247">
        <v>100</v>
      </c>
      <c r="C247">
        <v>255</v>
      </c>
      <c r="D247">
        <v>236</v>
      </c>
      <c r="E247" s="1">
        <v>6595</v>
      </c>
      <c r="F247">
        <v>268</v>
      </c>
    </row>
    <row r="248" spans="1:6" x14ac:dyDescent="0.3">
      <c r="A248" t="s">
        <v>252</v>
      </c>
      <c r="B248">
        <v>269</v>
      </c>
      <c r="C248">
        <v>412</v>
      </c>
      <c r="D248">
        <v>204</v>
      </c>
      <c r="E248" s="1">
        <v>6600</v>
      </c>
      <c r="F248">
        <v>238</v>
      </c>
    </row>
    <row r="249" spans="1:6" x14ac:dyDescent="0.3">
      <c r="A249" t="s">
        <v>253</v>
      </c>
      <c r="B249">
        <v>168</v>
      </c>
      <c r="C249">
        <v>285</v>
      </c>
      <c r="D249">
        <v>210</v>
      </c>
      <c r="E249" s="1">
        <v>6598</v>
      </c>
      <c r="F249">
        <v>134</v>
      </c>
    </row>
    <row r="250" spans="1:6" x14ac:dyDescent="0.3">
      <c r="A250" t="s">
        <v>254</v>
      </c>
      <c r="B250">
        <v>187</v>
      </c>
      <c r="C250">
        <v>310</v>
      </c>
      <c r="D250">
        <v>247</v>
      </c>
      <c r="E250" s="1">
        <v>6506</v>
      </c>
      <c r="F250">
        <v>151</v>
      </c>
    </row>
    <row r="251" spans="1:6" x14ac:dyDescent="0.3">
      <c r="A251" t="s">
        <v>255</v>
      </c>
      <c r="B251">
        <v>133</v>
      </c>
      <c r="C251">
        <v>287</v>
      </c>
      <c r="D251">
        <v>189</v>
      </c>
      <c r="E251" s="1">
        <v>6454</v>
      </c>
      <c r="F251">
        <v>149</v>
      </c>
    </row>
    <row r="252" spans="1:6" x14ac:dyDescent="0.3">
      <c r="A252" t="s">
        <v>256</v>
      </c>
      <c r="B252">
        <v>180</v>
      </c>
      <c r="C252">
        <v>337</v>
      </c>
      <c r="D252">
        <v>219</v>
      </c>
      <c r="E252" s="1">
        <v>6408</v>
      </c>
      <c r="F252">
        <v>224</v>
      </c>
    </row>
    <row r="253" spans="1:6" x14ac:dyDescent="0.3">
      <c r="A253" t="s">
        <v>257</v>
      </c>
      <c r="B253">
        <v>153</v>
      </c>
      <c r="C253">
        <v>253</v>
      </c>
      <c r="D253">
        <v>286</v>
      </c>
      <c r="E253" s="1">
        <v>6481</v>
      </c>
      <c r="F253">
        <v>194</v>
      </c>
    </row>
    <row r="254" spans="1:6" x14ac:dyDescent="0.3">
      <c r="A254" t="s">
        <v>258</v>
      </c>
      <c r="B254">
        <v>209</v>
      </c>
      <c r="C254">
        <v>353</v>
      </c>
      <c r="D254">
        <v>232</v>
      </c>
      <c r="E254" s="1">
        <v>6402</v>
      </c>
      <c r="F254">
        <v>152</v>
      </c>
    </row>
    <row r="255" spans="1:6" x14ac:dyDescent="0.3">
      <c r="A255" t="s">
        <v>259</v>
      </c>
      <c r="B255">
        <v>167</v>
      </c>
      <c r="C255">
        <v>326</v>
      </c>
      <c r="D255">
        <v>213</v>
      </c>
      <c r="E255" s="1">
        <v>6310</v>
      </c>
      <c r="F255">
        <v>149</v>
      </c>
    </row>
    <row r="256" spans="1:6" x14ac:dyDescent="0.3">
      <c r="A256" t="s">
        <v>260</v>
      </c>
      <c r="B256">
        <v>224</v>
      </c>
      <c r="C256">
        <v>315</v>
      </c>
      <c r="D256">
        <v>152</v>
      </c>
      <c r="E256" s="1">
        <v>6268</v>
      </c>
      <c r="F256">
        <v>174</v>
      </c>
    </row>
    <row r="257" spans="1:6" x14ac:dyDescent="0.3">
      <c r="A257" t="s">
        <v>261</v>
      </c>
      <c r="B257">
        <v>132</v>
      </c>
      <c r="C257">
        <v>243</v>
      </c>
      <c r="D257">
        <v>183</v>
      </c>
      <c r="E257" s="1">
        <v>6286</v>
      </c>
      <c r="F257">
        <v>172</v>
      </c>
    </row>
    <row r="258" spans="1:6" x14ac:dyDescent="0.3">
      <c r="A258" t="s">
        <v>262</v>
      </c>
      <c r="B258">
        <v>218</v>
      </c>
      <c r="C258">
        <v>283</v>
      </c>
      <c r="D258">
        <v>208</v>
      </c>
      <c r="E258" s="1">
        <v>6310</v>
      </c>
      <c r="F258">
        <v>150</v>
      </c>
    </row>
    <row r="259" spans="1:6" x14ac:dyDescent="0.3">
      <c r="A259" t="s">
        <v>263</v>
      </c>
      <c r="B259">
        <v>118</v>
      </c>
      <c r="C259">
        <v>245</v>
      </c>
      <c r="D259">
        <v>160</v>
      </c>
      <c r="E259" s="1">
        <v>6269</v>
      </c>
      <c r="F259">
        <v>115</v>
      </c>
    </row>
    <row r="260" spans="1:6" x14ac:dyDescent="0.3">
      <c r="A260" t="s">
        <v>264</v>
      </c>
      <c r="B260">
        <v>81</v>
      </c>
      <c r="C260">
        <v>230</v>
      </c>
      <c r="D260">
        <v>242</v>
      </c>
      <c r="E260" s="1">
        <v>6192</v>
      </c>
      <c r="F260">
        <v>107</v>
      </c>
    </row>
    <row r="261" spans="1:6" x14ac:dyDescent="0.3">
      <c r="A261" t="s">
        <v>265</v>
      </c>
      <c r="B261">
        <v>236</v>
      </c>
      <c r="C261">
        <v>330</v>
      </c>
      <c r="D261">
        <v>222</v>
      </c>
      <c r="E261" s="1">
        <v>6061</v>
      </c>
      <c r="F261">
        <v>115</v>
      </c>
    </row>
    <row r="262" spans="1:6" x14ac:dyDescent="0.3">
      <c r="A262" t="s">
        <v>266</v>
      </c>
      <c r="B262">
        <v>196</v>
      </c>
      <c r="C262">
        <v>306</v>
      </c>
      <c r="D262">
        <v>187</v>
      </c>
      <c r="E262" s="1">
        <v>5986</v>
      </c>
      <c r="F262">
        <v>149</v>
      </c>
    </row>
    <row r="263" spans="1:6" x14ac:dyDescent="0.3">
      <c r="A263" t="s">
        <v>267</v>
      </c>
      <c r="B263">
        <v>113</v>
      </c>
      <c r="C263">
        <v>280</v>
      </c>
      <c r="D263">
        <v>237</v>
      </c>
      <c r="E263" s="1">
        <v>5963</v>
      </c>
      <c r="F263">
        <v>143</v>
      </c>
    </row>
    <row r="264" spans="1:6" x14ac:dyDescent="0.3">
      <c r="A264" t="s">
        <v>268</v>
      </c>
      <c r="B264">
        <v>239</v>
      </c>
      <c r="C264">
        <v>367</v>
      </c>
      <c r="D264">
        <v>224</v>
      </c>
      <c r="E264" s="1">
        <v>5862</v>
      </c>
      <c r="F264">
        <v>211</v>
      </c>
    </row>
    <row r="265" spans="1:6" x14ac:dyDescent="0.3">
      <c r="A265" t="s">
        <v>269</v>
      </c>
      <c r="B265">
        <v>152</v>
      </c>
      <c r="C265">
        <v>272</v>
      </c>
      <c r="D265">
        <v>214</v>
      </c>
      <c r="E265" s="1">
        <v>5826</v>
      </c>
      <c r="F265">
        <v>112</v>
      </c>
    </row>
    <row r="266" spans="1:6" x14ac:dyDescent="0.3">
      <c r="A266" t="s">
        <v>270</v>
      </c>
      <c r="B266">
        <v>170</v>
      </c>
      <c r="C266">
        <v>297</v>
      </c>
      <c r="D266">
        <v>196</v>
      </c>
      <c r="E266" s="1">
        <v>5715</v>
      </c>
      <c r="F266">
        <v>129</v>
      </c>
    </row>
    <row r="267" spans="1:6" x14ac:dyDescent="0.3">
      <c r="A267" t="s">
        <v>271</v>
      </c>
      <c r="B267">
        <v>191</v>
      </c>
      <c r="C267">
        <v>283</v>
      </c>
      <c r="D267">
        <v>192</v>
      </c>
      <c r="E267" s="1">
        <v>5664</v>
      </c>
      <c r="F267">
        <v>207</v>
      </c>
    </row>
    <row r="268" spans="1:6" x14ac:dyDescent="0.3">
      <c r="A268" t="s">
        <v>272</v>
      </c>
      <c r="B268">
        <v>109</v>
      </c>
      <c r="C268">
        <v>214</v>
      </c>
      <c r="D268">
        <v>173</v>
      </c>
      <c r="E268" s="1">
        <v>5850</v>
      </c>
      <c r="F268">
        <v>210</v>
      </c>
    </row>
    <row r="269" spans="1:6" x14ac:dyDescent="0.3">
      <c r="A269" t="s">
        <v>273</v>
      </c>
      <c r="B269">
        <v>155</v>
      </c>
      <c r="C269">
        <v>212</v>
      </c>
      <c r="D269">
        <v>181</v>
      </c>
      <c r="E269" s="1">
        <v>5879</v>
      </c>
      <c r="F269">
        <v>148</v>
      </c>
    </row>
    <row r="270" spans="1:6" x14ac:dyDescent="0.3">
      <c r="A270" t="s">
        <v>274</v>
      </c>
      <c r="B270">
        <v>119</v>
      </c>
      <c r="C270">
        <v>209</v>
      </c>
      <c r="D270">
        <v>152</v>
      </c>
      <c r="E270" s="1">
        <v>5844</v>
      </c>
      <c r="F270">
        <v>146</v>
      </c>
    </row>
    <row r="271" spans="1:6" x14ac:dyDescent="0.3">
      <c r="A271" t="s">
        <v>275</v>
      </c>
      <c r="B271">
        <v>143</v>
      </c>
      <c r="C271">
        <v>203</v>
      </c>
      <c r="D271">
        <v>163</v>
      </c>
      <c r="E271" s="1">
        <v>5819</v>
      </c>
      <c r="F271">
        <v>138</v>
      </c>
    </row>
    <row r="272" spans="1:6" x14ac:dyDescent="0.3">
      <c r="A272" t="s">
        <v>276</v>
      </c>
      <c r="B272">
        <v>105</v>
      </c>
      <c r="C272">
        <v>210</v>
      </c>
      <c r="D272">
        <v>149</v>
      </c>
      <c r="E272" s="1">
        <v>5816</v>
      </c>
      <c r="F272">
        <v>195</v>
      </c>
    </row>
    <row r="273" spans="1:6" x14ac:dyDescent="0.3">
      <c r="A273" t="s">
        <v>277</v>
      </c>
      <c r="B273">
        <v>119</v>
      </c>
      <c r="C273">
        <v>219</v>
      </c>
      <c r="D273">
        <v>210</v>
      </c>
      <c r="E273" s="1">
        <v>6025</v>
      </c>
      <c r="F273">
        <v>172</v>
      </c>
    </row>
    <row r="274" spans="1:6" x14ac:dyDescent="0.3">
      <c r="A274" t="s">
        <v>278</v>
      </c>
      <c r="B274">
        <v>148</v>
      </c>
      <c r="C274">
        <v>245</v>
      </c>
      <c r="D274">
        <v>175</v>
      </c>
      <c r="E274" s="1">
        <v>5966</v>
      </c>
      <c r="F274">
        <v>151</v>
      </c>
    </row>
    <row r="275" spans="1:6" x14ac:dyDescent="0.3">
      <c r="A275" t="s">
        <v>279</v>
      </c>
      <c r="B275">
        <v>142</v>
      </c>
      <c r="C275">
        <v>235</v>
      </c>
      <c r="D275">
        <v>139</v>
      </c>
      <c r="E275" s="1">
        <v>5975</v>
      </c>
      <c r="F275">
        <v>138</v>
      </c>
    </row>
    <row r="276" spans="1:6" x14ac:dyDescent="0.3">
      <c r="A276" t="s">
        <v>280</v>
      </c>
      <c r="B276">
        <v>118</v>
      </c>
      <c r="C276">
        <v>139</v>
      </c>
      <c r="D276">
        <v>168</v>
      </c>
      <c r="E276" s="1">
        <v>5963</v>
      </c>
      <c r="F276">
        <v>145</v>
      </c>
    </row>
    <row r="277" spans="1:6" x14ac:dyDescent="0.3">
      <c r="A277" t="s">
        <v>281</v>
      </c>
      <c r="B277">
        <v>125</v>
      </c>
      <c r="C277">
        <v>232</v>
      </c>
      <c r="D277">
        <v>192</v>
      </c>
      <c r="E277" s="1">
        <v>6084</v>
      </c>
      <c r="F277">
        <v>177</v>
      </c>
    </row>
    <row r="278" spans="1:6" x14ac:dyDescent="0.3">
      <c r="A278" t="s">
        <v>282</v>
      </c>
      <c r="B278">
        <v>156</v>
      </c>
      <c r="C278">
        <v>256</v>
      </c>
      <c r="D278">
        <v>176</v>
      </c>
      <c r="E278" s="1">
        <v>6086</v>
      </c>
      <c r="F278">
        <v>137</v>
      </c>
    </row>
    <row r="279" spans="1:6" x14ac:dyDescent="0.3">
      <c r="A279" t="s">
        <v>283</v>
      </c>
      <c r="B279">
        <v>109</v>
      </c>
      <c r="C279">
        <v>245</v>
      </c>
      <c r="D279">
        <v>159</v>
      </c>
      <c r="E279" s="1">
        <v>6045</v>
      </c>
      <c r="F279">
        <v>126</v>
      </c>
    </row>
    <row r="280" spans="1:6" x14ac:dyDescent="0.3">
      <c r="A280" t="s">
        <v>284</v>
      </c>
      <c r="B280">
        <v>167</v>
      </c>
      <c r="C280">
        <v>209</v>
      </c>
      <c r="D280">
        <v>157</v>
      </c>
      <c r="E280" s="1">
        <v>6007</v>
      </c>
      <c r="F280">
        <v>132</v>
      </c>
    </row>
    <row r="281" spans="1:6" x14ac:dyDescent="0.3">
      <c r="A281" t="s">
        <v>285</v>
      </c>
      <c r="B281">
        <v>84</v>
      </c>
      <c r="C281">
        <v>171</v>
      </c>
      <c r="D281">
        <v>157</v>
      </c>
      <c r="E281" s="1">
        <v>5990</v>
      </c>
      <c r="F281">
        <v>184</v>
      </c>
    </row>
    <row r="282" spans="1:6" x14ac:dyDescent="0.3">
      <c r="A282" t="s">
        <v>286</v>
      </c>
      <c r="B282">
        <v>87</v>
      </c>
      <c r="C282">
        <v>246</v>
      </c>
      <c r="D282">
        <v>173</v>
      </c>
      <c r="E282" s="1">
        <v>6148</v>
      </c>
      <c r="F282">
        <v>177</v>
      </c>
    </row>
    <row r="283" spans="1:6" x14ac:dyDescent="0.3">
      <c r="A283" t="s">
        <v>287</v>
      </c>
      <c r="B283">
        <v>136</v>
      </c>
      <c r="C283">
        <v>276</v>
      </c>
      <c r="D283">
        <v>178</v>
      </c>
      <c r="E283" s="1">
        <v>6149</v>
      </c>
      <c r="F283">
        <v>160</v>
      </c>
    </row>
    <row r="284" spans="1:6" x14ac:dyDescent="0.3">
      <c r="A284" t="s">
        <v>288</v>
      </c>
      <c r="B284">
        <v>166</v>
      </c>
      <c r="C284">
        <v>277</v>
      </c>
      <c r="D284">
        <v>229</v>
      </c>
      <c r="E284" s="1">
        <v>6106</v>
      </c>
      <c r="F284">
        <v>126</v>
      </c>
    </row>
    <row r="285" spans="1:6" x14ac:dyDescent="0.3">
      <c r="A285" t="s">
        <v>289</v>
      </c>
      <c r="B285">
        <v>110</v>
      </c>
      <c r="C285">
        <v>272</v>
      </c>
      <c r="D285">
        <v>193</v>
      </c>
      <c r="E285" s="1">
        <v>6008</v>
      </c>
      <c r="F285">
        <v>156</v>
      </c>
    </row>
    <row r="286" spans="1:6" x14ac:dyDescent="0.3">
      <c r="A286" t="s">
        <v>290</v>
      </c>
      <c r="B286">
        <v>202</v>
      </c>
      <c r="C286">
        <v>313</v>
      </c>
      <c r="D286">
        <v>158</v>
      </c>
      <c r="E286" s="1">
        <v>5974</v>
      </c>
      <c r="F286">
        <v>192</v>
      </c>
    </row>
    <row r="287" spans="1:6" x14ac:dyDescent="0.3">
      <c r="A287" t="s">
        <v>291</v>
      </c>
      <c r="B287">
        <v>134</v>
      </c>
      <c r="C287">
        <v>294</v>
      </c>
      <c r="D287">
        <v>186</v>
      </c>
      <c r="E287" s="1">
        <v>6077</v>
      </c>
      <c r="F287">
        <v>138</v>
      </c>
    </row>
    <row r="288" spans="1:6" x14ac:dyDescent="0.3">
      <c r="A288" t="s">
        <v>292</v>
      </c>
      <c r="B288">
        <v>180</v>
      </c>
      <c r="C288">
        <v>280</v>
      </c>
      <c r="D288">
        <v>146</v>
      </c>
      <c r="E288" s="1">
        <v>6043</v>
      </c>
      <c r="F288">
        <v>109</v>
      </c>
    </row>
    <row r="289" spans="1:6" x14ac:dyDescent="0.3">
      <c r="A289" t="s">
        <v>293</v>
      </c>
      <c r="B289">
        <v>108</v>
      </c>
      <c r="C289">
        <v>220</v>
      </c>
      <c r="D289">
        <v>213</v>
      </c>
      <c r="E289" s="1">
        <v>5966</v>
      </c>
      <c r="F289">
        <v>154</v>
      </c>
    </row>
    <row r="290" spans="1:6" x14ac:dyDescent="0.3">
      <c r="A290" t="s">
        <v>294</v>
      </c>
      <c r="B290">
        <v>147</v>
      </c>
      <c r="C290">
        <v>276</v>
      </c>
      <c r="D290">
        <v>214</v>
      </c>
      <c r="E290" s="1">
        <v>5918</v>
      </c>
      <c r="F290">
        <v>195</v>
      </c>
    </row>
    <row r="291" spans="1:6" x14ac:dyDescent="0.3">
      <c r="A291" t="s">
        <v>295</v>
      </c>
      <c r="B291">
        <v>104</v>
      </c>
      <c r="C291">
        <v>230</v>
      </c>
      <c r="D291">
        <v>206</v>
      </c>
      <c r="E291" s="1">
        <v>6076</v>
      </c>
      <c r="F291">
        <v>160</v>
      </c>
    </row>
    <row r="292" spans="1:6" x14ac:dyDescent="0.3">
      <c r="A292" t="s">
        <v>296</v>
      </c>
      <c r="B292">
        <v>174</v>
      </c>
      <c r="C292">
        <v>285</v>
      </c>
      <c r="D292">
        <v>150</v>
      </c>
      <c r="E292" s="1">
        <v>6036</v>
      </c>
      <c r="F292">
        <v>129</v>
      </c>
    </row>
    <row r="293" spans="1:6" x14ac:dyDescent="0.3">
      <c r="A293" t="s">
        <v>297</v>
      </c>
      <c r="B293">
        <v>113</v>
      </c>
      <c r="C293">
        <v>208</v>
      </c>
      <c r="D293">
        <v>159</v>
      </c>
      <c r="E293" s="1">
        <v>6013</v>
      </c>
      <c r="F293">
        <v>107</v>
      </c>
    </row>
    <row r="294" spans="1:6" x14ac:dyDescent="0.3">
      <c r="A294" t="s">
        <v>298</v>
      </c>
      <c r="B294">
        <v>88</v>
      </c>
      <c r="C294">
        <v>214</v>
      </c>
      <c r="D294">
        <v>160</v>
      </c>
      <c r="E294" s="1">
        <v>5935</v>
      </c>
      <c r="F294">
        <v>106</v>
      </c>
    </row>
    <row r="295" spans="1:6" x14ac:dyDescent="0.3">
      <c r="A295" t="s">
        <v>299</v>
      </c>
      <c r="B295">
        <v>130</v>
      </c>
      <c r="C295">
        <v>227</v>
      </c>
      <c r="D295">
        <v>192</v>
      </c>
      <c r="E295" s="1">
        <v>5889</v>
      </c>
      <c r="F295">
        <v>210</v>
      </c>
    </row>
    <row r="296" spans="1:6" x14ac:dyDescent="0.3">
      <c r="A296" t="s">
        <v>300</v>
      </c>
      <c r="B296">
        <v>84</v>
      </c>
      <c r="C296">
        <v>158</v>
      </c>
      <c r="D296">
        <v>193</v>
      </c>
      <c r="E296" s="1">
        <v>6075</v>
      </c>
      <c r="F296">
        <v>159</v>
      </c>
    </row>
    <row r="297" spans="1:6" x14ac:dyDescent="0.3">
      <c r="A297" t="s">
        <v>301</v>
      </c>
      <c r="B297">
        <v>115</v>
      </c>
      <c r="C297">
        <v>216</v>
      </c>
      <c r="D297">
        <v>169</v>
      </c>
      <c r="E297" s="1">
        <v>6047</v>
      </c>
      <c r="F297">
        <v>137</v>
      </c>
    </row>
    <row r="298" spans="1:6" x14ac:dyDescent="0.3">
      <c r="A298" t="s">
        <v>302</v>
      </c>
      <c r="B298">
        <v>167</v>
      </c>
      <c r="C298">
        <v>239</v>
      </c>
      <c r="D298">
        <v>166</v>
      </c>
      <c r="E298" s="1">
        <v>6013</v>
      </c>
      <c r="F298">
        <v>123</v>
      </c>
    </row>
    <row r="299" spans="1:6" x14ac:dyDescent="0.3">
      <c r="A299" t="s">
        <v>303</v>
      </c>
      <c r="B299">
        <v>99</v>
      </c>
      <c r="C299">
        <v>190</v>
      </c>
      <c r="D299">
        <v>176</v>
      </c>
      <c r="E299" s="1">
        <v>5968</v>
      </c>
      <c r="F299">
        <v>153</v>
      </c>
    </row>
    <row r="300" spans="1:6" x14ac:dyDescent="0.3">
      <c r="A300" t="s">
        <v>304</v>
      </c>
      <c r="B300">
        <v>101</v>
      </c>
      <c r="C300">
        <v>162</v>
      </c>
      <c r="D300">
        <v>178</v>
      </c>
      <c r="E300" s="1">
        <v>6118</v>
      </c>
      <c r="F300">
        <v>193</v>
      </c>
    </row>
    <row r="301" spans="1:6" x14ac:dyDescent="0.3">
      <c r="A301" t="s">
        <v>305</v>
      </c>
      <c r="B301">
        <v>107</v>
      </c>
      <c r="C301">
        <v>215</v>
      </c>
      <c r="D301">
        <v>230</v>
      </c>
      <c r="E301" s="1">
        <v>6091</v>
      </c>
      <c r="F301">
        <v>173</v>
      </c>
    </row>
    <row r="302" spans="1:6" x14ac:dyDescent="0.3">
      <c r="A302" t="s">
        <v>306</v>
      </c>
      <c r="B302">
        <v>184</v>
      </c>
      <c r="C302">
        <v>314</v>
      </c>
      <c r="D302">
        <v>217</v>
      </c>
      <c r="E302" s="1">
        <v>6040</v>
      </c>
      <c r="F302">
        <v>137</v>
      </c>
    </row>
    <row r="303" spans="1:6" x14ac:dyDescent="0.3">
      <c r="A303" t="s">
        <v>307</v>
      </c>
      <c r="B303">
        <v>209</v>
      </c>
      <c r="C303">
        <v>285</v>
      </c>
      <c r="D303">
        <v>184</v>
      </c>
      <c r="E303" s="1">
        <v>5967</v>
      </c>
      <c r="F303">
        <v>138</v>
      </c>
    </row>
    <row r="304" spans="1:6" x14ac:dyDescent="0.3">
      <c r="A304" t="s">
        <v>308</v>
      </c>
      <c r="B304">
        <v>81</v>
      </c>
      <c r="C304">
        <v>213</v>
      </c>
      <c r="D304">
        <v>153</v>
      </c>
      <c r="E304" s="1">
        <v>5925</v>
      </c>
      <c r="F304">
        <v>177</v>
      </c>
    </row>
    <row r="305" spans="1:6" x14ac:dyDescent="0.3">
      <c r="A305" t="s">
        <v>309</v>
      </c>
      <c r="B305">
        <v>91</v>
      </c>
      <c r="C305">
        <v>199</v>
      </c>
      <c r="D305">
        <v>172</v>
      </c>
      <c r="E305" s="1">
        <v>6090</v>
      </c>
      <c r="F305">
        <v>185</v>
      </c>
    </row>
    <row r="306" spans="1:6" x14ac:dyDescent="0.3">
      <c r="A306" t="s">
        <v>310</v>
      </c>
      <c r="B306">
        <v>154</v>
      </c>
      <c r="C306">
        <v>225</v>
      </c>
      <c r="D306">
        <v>220</v>
      </c>
      <c r="E306" s="1">
        <v>6050</v>
      </c>
      <c r="F306">
        <v>169</v>
      </c>
    </row>
    <row r="307" spans="1:6" x14ac:dyDescent="0.3">
      <c r="A307" t="s">
        <v>311</v>
      </c>
      <c r="B307">
        <v>186</v>
      </c>
      <c r="C307">
        <v>259</v>
      </c>
      <c r="D307">
        <v>172</v>
      </c>
      <c r="E307" s="1">
        <v>6023</v>
      </c>
      <c r="F307">
        <v>143</v>
      </c>
    </row>
    <row r="308" spans="1:6" x14ac:dyDescent="0.3">
      <c r="A308" t="s">
        <v>312</v>
      </c>
      <c r="B308">
        <v>92</v>
      </c>
      <c r="C308">
        <v>203</v>
      </c>
      <c r="D308">
        <v>173</v>
      </c>
      <c r="E308" s="1">
        <v>6002</v>
      </c>
      <c r="F308">
        <v>165</v>
      </c>
    </row>
    <row r="309" spans="1:6" x14ac:dyDescent="0.3">
      <c r="A309" t="s">
        <v>313</v>
      </c>
      <c r="B309">
        <v>124</v>
      </c>
      <c r="C309">
        <v>234</v>
      </c>
      <c r="D309">
        <v>161</v>
      </c>
      <c r="E309" s="1">
        <v>5989</v>
      </c>
      <c r="F309">
        <v>197</v>
      </c>
    </row>
    <row r="310" spans="1:6" x14ac:dyDescent="0.3">
      <c r="A310" t="s">
        <v>314</v>
      </c>
      <c r="B310">
        <v>93</v>
      </c>
      <c r="C310">
        <v>196</v>
      </c>
      <c r="D310">
        <v>169</v>
      </c>
      <c r="E310" s="1">
        <v>6270</v>
      </c>
      <c r="F310">
        <v>188</v>
      </c>
    </row>
    <row r="311" spans="1:6" x14ac:dyDescent="0.3">
      <c r="A311" t="s">
        <v>315</v>
      </c>
      <c r="B311">
        <v>116</v>
      </c>
      <c r="C311">
        <v>213</v>
      </c>
      <c r="D311">
        <v>217</v>
      </c>
      <c r="E311" s="1">
        <v>6245</v>
      </c>
      <c r="F311">
        <v>149</v>
      </c>
    </row>
    <row r="312" spans="1:6" x14ac:dyDescent="0.3">
      <c r="A312" t="s">
        <v>316</v>
      </c>
      <c r="B312">
        <v>159</v>
      </c>
      <c r="C312">
        <v>304</v>
      </c>
      <c r="D312">
        <v>139</v>
      </c>
      <c r="E312" s="1">
        <v>6227</v>
      </c>
      <c r="F312">
        <v>160</v>
      </c>
    </row>
    <row r="313" spans="1:6" x14ac:dyDescent="0.3">
      <c r="A313" t="s">
        <v>317</v>
      </c>
      <c r="B313">
        <v>113</v>
      </c>
      <c r="C313">
        <v>209</v>
      </c>
      <c r="D313">
        <v>160</v>
      </c>
      <c r="E313" s="1">
        <v>6229</v>
      </c>
      <c r="F313">
        <v>164</v>
      </c>
    </row>
    <row r="314" spans="1:6" x14ac:dyDescent="0.3">
      <c r="A314" t="s">
        <v>318</v>
      </c>
      <c r="B314">
        <v>98</v>
      </c>
      <c r="C314">
        <v>220</v>
      </c>
      <c r="D314">
        <v>167</v>
      </c>
      <c r="E314" s="1">
        <v>6234</v>
      </c>
      <c r="F314">
        <v>210</v>
      </c>
    </row>
    <row r="315" spans="1:6" x14ac:dyDescent="0.3">
      <c r="A315" t="s">
        <v>319</v>
      </c>
      <c r="B315">
        <v>81</v>
      </c>
      <c r="C315">
        <v>200</v>
      </c>
      <c r="D315">
        <v>212</v>
      </c>
      <c r="E315" s="1">
        <v>6326</v>
      </c>
      <c r="F315">
        <v>279</v>
      </c>
    </row>
    <row r="316" spans="1:6" x14ac:dyDescent="0.3">
      <c r="A316" t="s">
        <v>320</v>
      </c>
      <c r="B316">
        <v>184</v>
      </c>
      <c r="C316">
        <v>280</v>
      </c>
      <c r="D316">
        <v>210</v>
      </c>
      <c r="E316" s="1">
        <v>6360</v>
      </c>
      <c r="F316">
        <v>220</v>
      </c>
    </row>
    <row r="317" spans="1:6" x14ac:dyDescent="0.3">
      <c r="A317" t="s">
        <v>321</v>
      </c>
      <c r="B317">
        <v>93</v>
      </c>
      <c r="C317">
        <v>248</v>
      </c>
      <c r="D317">
        <v>175</v>
      </c>
      <c r="E317" s="1">
        <v>6410</v>
      </c>
      <c r="F317">
        <v>162</v>
      </c>
    </row>
    <row r="318" spans="1:6" x14ac:dyDescent="0.3">
      <c r="A318" t="s">
        <v>322</v>
      </c>
      <c r="B318">
        <v>131</v>
      </c>
      <c r="C318">
        <v>251</v>
      </c>
      <c r="D318">
        <v>180</v>
      </c>
      <c r="E318" s="1">
        <v>6396</v>
      </c>
      <c r="F318">
        <v>148</v>
      </c>
    </row>
    <row r="319" spans="1:6" x14ac:dyDescent="0.3">
      <c r="A319" t="s">
        <v>323</v>
      </c>
      <c r="B319">
        <v>144</v>
      </c>
      <c r="C319">
        <v>275</v>
      </c>
      <c r="D319">
        <v>190</v>
      </c>
      <c r="E319" s="1">
        <v>6353</v>
      </c>
      <c r="F319">
        <v>141</v>
      </c>
    </row>
    <row r="320" spans="1:6" x14ac:dyDescent="0.3">
      <c r="A320" t="s">
        <v>324</v>
      </c>
      <c r="B320">
        <v>123</v>
      </c>
      <c r="C320">
        <v>255</v>
      </c>
      <c r="D320">
        <v>164</v>
      </c>
      <c r="E320" s="1">
        <v>6312</v>
      </c>
      <c r="F320">
        <v>221</v>
      </c>
    </row>
    <row r="321" spans="1:6" x14ac:dyDescent="0.3">
      <c r="A321" t="s">
        <v>325</v>
      </c>
      <c r="B321">
        <v>126</v>
      </c>
      <c r="C321">
        <v>230</v>
      </c>
      <c r="D321">
        <v>175</v>
      </c>
      <c r="E321" s="1">
        <v>6448</v>
      </c>
      <c r="F321">
        <v>121</v>
      </c>
    </row>
    <row r="322" spans="1:6" x14ac:dyDescent="0.3">
      <c r="A322" t="s">
        <v>326</v>
      </c>
      <c r="B322">
        <v>121</v>
      </c>
      <c r="C322">
        <v>231</v>
      </c>
      <c r="D322">
        <v>219</v>
      </c>
      <c r="E322" s="1">
        <v>6375</v>
      </c>
      <c r="F322">
        <v>114</v>
      </c>
    </row>
    <row r="323" spans="1:6" x14ac:dyDescent="0.3">
      <c r="A323" t="s">
        <v>327</v>
      </c>
      <c r="B323">
        <v>131</v>
      </c>
      <c r="C323">
        <v>263</v>
      </c>
      <c r="D323">
        <v>177</v>
      </c>
      <c r="E323" s="1">
        <v>6272</v>
      </c>
      <c r="F323">
        <v>112</v>
      </c>
    </row>
    <row r="324" spans="1:6" x14ac:dyDescent="0.3">
      <c r="A324" t="s">
        <v>328</v>
      </c>
      <c r="B324">
        <v>133</v>
      </c>
      <c r="C324">
        <v>270</v>
      </c>
      <c r="D324">
        <v>198</v>
      </c>
      <c r="E324" s="1">
        <v>6192</v>
      </c>
      <c r="F324">
        <v>129</v>
      </c>
    </row>
    <row r="325" spans="1:6" x14ac:dyDescent="0.3">
      <c r="A325" t="s">
        <v>329</v>
      </c>
      <c r="B325">
        <v>145</v>
      </c>
      <c r="C325">
        <v>295</v>
      </c>
      <c r="D325">
        <v>188</v>
      </c>
      <c r="E325" s="1">
        <v>6250</v>
      </c>
      <c r="F325">
        <v>169</v>
      </c>
    </row>
    <row r="326" spans="1:6" x14ac:dyDescent="0.3">
      <c r="A326" t="s">
        <v>330</v>
      </c>
      <c r="B326">
        <v>170</v>
      </c>
      <c r="C326">
        <v>285</v>
      </c>
      <c r="D326">
        <v>178</v>
      </c>
      <c r="E326" s="1">
        <v>6227</v>
      </c>
      <c r="F326">
        <v>134</v>
      </c>
    </row>
    <row r="327" spans="1:6" x14ac:dyDescent="0.3">
      <c r="A327" t="s">
        <v>331</v>
      </c>
      <c r="B327">
        <v>149</v>
      </c>
      <c r="C327">
        <v>285</v>
      </c>
      <c r="D327">
        <v>222</v>
      </c>
      <c r="E327" s="1">
        <v>6152</v>
      </c>
      <c r="F327">
        <v>97</v>
      </c>
    </row>
    <row r="328" spans="1:6" x14ac:dyDescent="0.3">
      <c r="A328" t="s">
        <v>332</v>
      </c>
      <c r="B328">
        <v>182</v>
      </c>
      <c r="C328">
        <v>307</v>
      </c>
      <c r="D328">
        <v>205</v>
      </c>
      <c r="E328" s="1">
        <v>6054</v>
      </c>
      <c r="F328">
        <v>171</v>
      </c>
    </row>
    <row r="329" spans="1:6" x14ac:dyDescent="0.3">
      <c r="A329" t="s">
        <v>333</v>
      </c>
      <c r="B329">
        <v>134</v>
      </c>
      <c r="C329">
        <v>245</v>
      </c>
      <c r="D329">
        <v>167</v>
      </c>
      <c r="E329" s="1">
        <v>6028</v>
      </c>
      <c r="F329">
        <v>156</v>
      </c>
    </row>
    <row r="330" spans="1:6" x14ac:dyDescent="0.3">
      <c r="A330" t="s">
        <v>334</v>
      </c>
      <c r="B330">
        <v>136</v>
      </c>
      <c r="C330">
        <v>274</v>
      </c>
      <c r="D330">
        <v>245</v>
      </c>
      <c r="E330" s="1">
        <v>5995</v>
      </c>
      <c r="F330">
        <v>112</v>
      </c>
    </row>
    <row r="331" spans="1:6" x14ac:dyDescent="0.3">
      <c r="A331" t="s">
        <v>335</v>
      </c>
      <c r="B331">
        <v>176</v>
      </c>
      <c r="C331">
        <v>254</v>
      </c>
      <c r="D331">
        <v>162</v>
      </c>
      <c r="E331" s="1">
        <v>5865</v>
      </c>
      <c r="F331">
        <v>158</v>
      </c>
    </row>
    <row r="332" spans="1:6" x14ac:dyDescent="0.3">
      <c r="A332" t="s">
        <v>336</v>
      </c>
      <c r="B332">
        <v>86</v>
      </c>
      <c r="C332">
        <v>244</v>
      </c>
      <c r="D332">
        <v>235</v>
      </c>
      <c r="E332" s="1">
        <v>5821</v>
      </c>
      <c r="F332">
        <v>178</v>
      </c>
    </row>
    <row r="333" spans="1:6" x14ac:dyDescent="0.3">
      <c r="A333" t="s">
        <v>337</v>
      </c>
      <c r="B333">
        <v>124</v>
      </c>
      <c r="C333">
        <v>241</v>
      </c>
      <c r="D333">
        <v>156</v>
      </c>
      <c r="E333" s="1">
        <v>5895</v>
      </c>
      <c r="F333">
        <v>220</v>
      </c>
    </row>
    <row r="334" spans="1:6" x14ac:dyDescent="0.3">
      <c r="A334" t="s">
        <v>338</v>
      </c>
      <c r="B334">
        <v>109</v>
      </c>
      <c r="C334">
        <v>226</v>
      </c>
      <c r="D334">
        <v>191</v>
      </c>
      <c r="E334" s="1">
        <v>5987</v>
      </c>
      <c r="F334">
        <v>178</v>
      </c>
    </row>
    <row r="335" spans="1:6" x14ac:dyDescent="0.3">
      <c r="A335" t="s">
        <v>339</v>
      </c>
      <c r="B335">
        <v>162</v>
      </c>
      <c r="C335">
        <v>239</v>
      </c>
      <c r="D335">
        <v>189</v>
      </c>
      <c r="E335" s="1">
        <v>5981</v>
      </c>
      <c r="F335">
        <v>123</v>
      </c>
    </row>
    <row r="336" spans="1:6" x14ac:dyDescent="0.3">
      <c r="A336" t="s">
        <v>340</v>
      </c>
      <c r="B336">
        <v>109</v>
      </c>
      <c r="C336">
        <v>219</v>
      </c>
      <c r="D336">
        <v>155</v>
      </c>
      <c r="E336" s="1">
        <v>5903</v>
      </c>
      <c r="F336">
        <v>148</v>
      </c>
    </row>
    <row r="337" spans="1:6" x14ac:dyDescent="0.3">
      <c r="A337" t="s">
        <v>341</v>
      </c>
      <c r="B337">
        <v>95</v>
      </c>
      <c r="C337">
        <v>211</v>
      </c>
      <c r="D337">
        <v>140</v>
      </c>
      <c r="E337" s="1">
        <v>5894</v>
      </c>
      <c r="F337">
        <v>249</v>
      </c>
    </row>
    <row r="338" spans="1:6" x14ac:dyDescent="0.3">
      <c r="A338" t="s">
        <v>342</v>
      </c>
      <c r="B338">
        <v>119</v>
      </c>
      <c r="C338">
        <v>230</v>
      </c>
      <c r="D338">
        <v>213</v>
      </c>
      <c r="E338" s="1">
        <v>6084</v>
      </c>
      <c r="F338">
        <v>174</v>
      </c>
    </row>
    <row r="339" spans="1:6" x14ac:dyDescent="0.3">
      <c r="A339" t="s">
        <v>343</v>
      </c>
      <c r="B339">
        <v>135</v>
      </c>
      <c r="C339">
        <v>273</v>
      </c>
      <c r="D339">
        <v>207</v>
      </c>
      <c r="E339" s="1">
        <v>6038</v>
      </c>
      <c r="F339">
        <v>174</v>
      </c>
    </row>
    <row r="340" spans="1:6" x14ac:dyDescent="0.3">
      <c r="A340" t="s">
        <v>344</v>
      </c>
      <c r="B340">
        <v>163</v>
      </c>
      <c r="C340">
        <v>283</v>
      </c>
      <c r="D340">
        <v>200</v>
      </c>
      <c r="E340" s="1">
        <v>5998</v>
      </c>
      <c r="F340">
        <v>143</v>
      </c>
    </row>
    <row r="341" spans="1:6" x14ac:dyDescent="0.3">
      <c r="A341" t="s">
        <v>345</v>
      </c>
      <c r="B341">
        <v>172</v>
      </c>
      <c r="C341">
        <v>259</v>
      </c>
      <c r="D341">
        <v>138</v>
      </c>
      <c r="E341" s="1">
        <v>5950</v>
      </c>
      <c r="F341">
        <v>150</v>
      </c>
    </row>
    <row r="342" spans="1:6" x14ac:dyDescent="0.3">
      <c r="A342" t="s">
        <v>346</v>
      </c>
      <c r="B342">
        <v>63</v>
      </c>
      <c r="C342">
        <v>167</v>
      </c>
      <c r="D342">
        <v>143</v>
      </c>
      <c r="E342" s="1">
        <v>5943</v>
      </c>
      <c r="F342">
        <v>170</v>
      </c>
    </row>
    <row r="343" spans="1:6" x14ac:dyDescent="0.3">
      <c r="A343" t="s">
        <v>347</v>
      </c>
      <c r="B343">
        <v>227</v>
      </c>
      <c r="C343">
        <v>298</v>
      </c>
      <c r="D343">
        <v>212</v>
      </c>
      <c r="E343" s="1">
        <v>6016</v>
      </c>
      <c r="F343">
        <v>169</v>
      </c>
    </row>
    <row r="344" spans="1:6" x14ac:dyDescent="0.3">
      <c r="A344" t="s">
        <v>348</v>
      </c>
      <c r="B344">
        <v>140</v>
      </c>
      <c r="C344">
        <v>261</v>
      </c>
      <c r="D344">
        <v>163</v>
      </c>
      <c r="E344" s="1">
        <v>5963</v>
      </c>
      <c r="F344">
        <v>154</v>
      </c>
    </row>
    <row r="345" spans="1:6" x14ac:dyDescent="0.3">
      <c r="A345" t="s">
        <v>349</v>
      </c>
      <c r="B345">
        <v>125</v>
      </c>
      <c r="C345">
        <v>203</v>
      </c>
      <c r="D345">
        <v>208</v>
      </c>
      <c r="E345" s="1">
        <v>5930</v>
      </c>
      <c r="F345">
        <v>92</v>
      </c>
    </row>
    <row r="346" spans="1:6" x14ac:dyDescent="0.3">
      <c r="A346" t="s">
        <v>350</v>
      </c>
      <c r="B346">
        <v>114</v>
      </c>
      <c r="C346">
        <v>210</v>
      </c>
      <c r="D346">
        <v>219</v>
      </c>
      <c r="E346" s="1">
        <v>5819</v>
      </c>
      <c r="F346">
        <v>163</v>
      </c>
    </row>
    <row r="347" spans="1:6" x14ac:dyDescent="0.3">
      <c r="A347" t="s">
        <v>351</v>
      </c>
      <c r="B347">
        <v>152</v>
      </c>
      <c r="C347">
        <v>290</v>
      </c>
      <c r="D347">
        <v>199</v>
      </c>
      <c r="E347" s="1">
        <v>5743</v>
      </c>
      <c r="F347">
        <v>207</v>
      </c>
    </row>
    <row r="348" spans="1:6" x14ac:dyDescent="0.3">
      <c r="A348" t="s">
        <v>352</v>
      </c>
      <c r="B348">
        <v>93</v>
      </c>
      <c r="C348">
        <v>198</v>
      </c>
      <c r="D348">
        <v>208</v>
      </c>
      <c r="E348" s="1">
        <v>5954</v>
      </c>
      <c r="F348">
        <v>194</v>
      </c>
    </row>
    <row r="349" spans="1:6" x14ac:dyDescent="0.3">
      <c r="A349" t="s">
        <v>353</v>
      </c>
      <c r="B349">
        <v>137</v>
      </c>
      <c r="C349">
        <v>272</v>
      </c>
      <c r="D349">
        <v>166</v>
      </c>
      <c r="E349" s="1">
        <v>5927</v>
      </c>
      <c r="F349">
        <v>177</v>
      </c>
    </row>
    <row r="350" spans="1:6" x14ac:dyDescent="0.3">
      <c r="A350" t="s">
        <v>354</v>
      </c>
      <c r="B350">
        <v>120</v>
      </c>
      <c r="C350">
        <v>257</v>
      </c>
      <c r="D350">
        <v>126</v>
      </c>
      <c r="E350" s="1">
        <v>5965</v>
      </c>
      <c r="F350">
        <v>170</v>
      </c>
    </row>
    <row r="351" spans="1:6" x14ac:dyDescent="0.3">
      <c r="A351" t="s">
        <v>355</v>
      </c>
      <c r="B351">
        <v>102</v>
      </c>
      <c r="C351">
        <v>189</v>
      </c>
      <c r="D351">
        <v>155</v>
      </c>
      <c r="E351" s="1">
        <v>6002</v>
      </c>
      <c r="F351">
        <v>234</v>
      </c>
    </row>
    <row r="352" spans="1:6" x14ac:dyDescent="0.3">
      <c r="A352" t="s">
        <v>356</v>
      </c>
      <c r="B352">
        <v>90</v>
      </c>
      <c r="C352">
        <v>196</v>
      </c>
      <c r="D352">
        <v>205</v>
      </c>
      <c r="E352" s="1">
        <v>6058</v>
      </c>
      <c r="F352">
        <v>262</v>
      </c>
    </row>
    <row r="353" spans="1:6" x14ac:dyDescent="0.3">
      <c r="A353" t="s">
        <v>357</v>
      </c>
      <c r="B353">
        <v>128</v>
      </c>
      <c r="C353">
        <v>228</v>
      </c>
      <c r="D353">
        <v>177</v>
      </c>
      <c r="E353" s="1">
        <v>6228</v>
      </c>
      <c r="F353">
        <v>187</v>
      </c>
    </row>
    <row r="354" spans="1:6" x14ac:dyDescent="0.3">
      <c r="A354" t="s">
        <v>358</v>
      </c>
      <c r="B354">
        <v>136</v>
      </c>
      <c r="C354">
        <v>246</v>
      </c>
      <c r="D354">
        <v>123</v>
      </c>
      <c r="E354" s="1">
        <v>6239</v>
      </c>
      <c r="F354">
        <v>173</v>
      </c>
    </row>
    <row r="355" spans="1:6" x14ac:dyDescent="0.3">
      <c r="A355" t="s">
        <v>359</v>
      </c>
      <c r="B355">
        <v>105</v>
      </c>
      <c r="C355">
        <v>185</v>
      </c>
      <c r="D355">
        <v>158</v>
      </c>
      <c r="E355" s="1">
        <v>6283</v>
      </c>
      <c r="F355">
        <v>171</v>
      </c>
    </row>
    <row r="356" spans="1:6" x14ac:dyDescent="0.3">
      <c r="A356" t="s">
        <v>360</v>
      </c>
      <c r="B356">
        <v>116</v>
      </c>
      <c r="C356">
        <v>188</v>
      </c>
      <c r="D356">
        <v>164</v>
      </c>
      <c r="E356" s="1">
        <v>6308</v>
      </c>
      <c r="F356">
        <v>237</v>
      </c>
    </row>
    <row r="357" spans="1:6" x14ac:dyDescent="0.3">
      <c r="A357" t="s">
        <v>361</v>
      </c>
      <c r="B357">
        <v>80</v>
      </c>
      <c r="C357">
        <v>176</v>
      </c>
      <c r="D357">
        <v>125</v>
      </c>
      <c r="E357" s="1">
        <v>6640</v>
      </c>
      <c r="F357">
        <v>197</v>
      </c>
    </row>
    <row r="358" spans="1:6" x14ac:dyDescent="0.3">
      <c r="A358" t="s">
        <v>362</v>
      </c>
      <c r="B358">
        <v>150</v>
      </c>
      <c r="C358">
        <v>157</v>
      </c>
      <c r="D358">
        <v>201</v>
      </c>
      <c r="E358" s="1">
        <v>6649</v>
      </c>
      <c r="F358">
        <v>177</v>
      </c>
    </row>
    <row r="359" spans="1:6" x14ac:dyDescent="0.3">
      <c r="A359" t="s">
        <v>363</v>
      </c>
      <c r="B359">
        <v>116</v>
      </c>
      <c r="C359">
        <v>181</v>
      </c>
      <c r="D359">
        <v>182</v>
      </c>
      <c r="E359" s="1">
        <v>6651</v>
      </c>
      <c r="F359">
        <v>130</v>
      </c>
    </row>
    <row r="360" spans="1:6" x14ac:dyDescent="0.3">
      <c r="A360" t="s">
        <v>364</v>
      </c>
      <c r="B360">
        <v>141</v>
      </c>
      <c r="C360">
        <v>173</v>
      </c>
      <c r="D360">
        <v>129</v>
      </c>
      <c r="E360" s="1">
        <v>6617</v>
      </c>
      <c r="F360">
        <v>123</v>
      </c>
    </row>
    <row r="361" spans="1:6" x14ac:dyDescent="0.3">
      <c r="A361" t="s">
        <v>365</v>
      </c>
      <c r="B361">
        <v>96</v>
      </c>
      <c r="C361">
        <v>160</v>
      </c>
      <c r="D361">
        <v>233</v>
      </c>
      <c r="E361" s="1">
        <v>6599</v>
      </c>
      <c r="F361">
        <v>213</v>
      </c>
    </row>
    <row r="362" spans="1:6" x14ac:dyDescent="0.3">
      <c r="A362" t="s">
        <v>366</v>
      </c>
      <c r="B362">
        <v>158</v>
      </c>
      <c r="C362">
        <v>226</v>
      </c>
      <c r="D362">
        <v>191</v>
      </c>
      <c r="E362" s="1">
        <v>6790</v>
      </c>
      <c r="F362">
        <v>225</v>
      </c>
    </row>
    <row r="363" spans="1:6" x14ac:dyDescent="0.3">
      <c r="A363" t="s">
        <v>367</v>
      </c>
      <c r="B363">
        <v>141</v>
      </c>
      <c r="C363">
        <v>232</v>
      </c>
      <c r="D363">
        <v>188</v>
      </c>
      <c r="E363" s="1">
        <v>6823</v>
      </c>
      <c r="F363">
        <v>184</v>
      </c>
    </row>
    <row r="364" spans="1:6" x14ac:dyDescent="0.3">
      <c r="A364" t="s">
        <v>368</v>
      </c>
      <c r="B364">
        <v>123</v>
      </c>
      <c r="C364">
        <v>233</v>
      </c>
      <c r="D364">
        <v>159</v>
      </c>
      <c r="E364" s="1">
        <v>6825</v>
      </c>
      <c r="F364">
        <v>229</v>
      </c>
    </row>
    <row r="365" spans="1:6" x14ac:dyDescent="0.3">
      <c r="A365" t="s">
        <v>369</v>
      </c>
      <c r="B365">
        <v>123</v>
      </c>
      <c r="C365">
        <v>230</v>
      </c>
      <c r="D365">
        <v>167</v>
      </c>
      <c r="E365" s="1">
        <v>6874</v>
      </c>
      <c r="F365">
        <v>273</v>
      </c>
    </row>
    <row r="366" spans="1:6" x14ac:dyDescent="0.3">
      <c r="A366" t="s">
        <v>370</v>
      </c>
      <c r="B366">
        <v>174</v>
      </c>
      <c r="C366">
        <v>208</v>
      </c>
      <c r="D366">
        <v>256</v>
      </c>
      <c r="E366" s="1">
        <v>7248</v>
      </c>
      <c r="F366">
        <v>268</v>
      </c>
    </row>
    <row r="367" spans="1:6" x14ac:dyDescent="0.3">
      <c r="A367" t="s">
        <v>371</v>
      </c>
      <c r="B367">
        <v>132</v>
      </c>
      <c r="C367">
        <v>235</v>
      </c>
      <c r="D367">
        <v>197</v>
      </c>
      <c r="E367" s="1">
        <v>7268</v>
      </c>
      <c r="F367">
        <v>187</v>
      </c>
    </row>
    <row r="368" spans="1:6" x14ac:dyDescent="0.3">
      <c r="A368" t="s">
        <v>372</v>
      </c>
      <c r="B368">
        <v>172</v>
      </c>
      <c r="C368">
        <v>263</v>
      </c>
      <c r="D368">
        <v>191</v>
      </c>
      <c r="E368" s="1">
        <v>7239</v>
      </c>
      <c r="F368">
        <v>202</v>
      </c>
    </row>
    <row r="369" spans="1:6" x14ac:dyDescent="0.3">
      <c r="A369" t="s">
        <v>373</v>
      </c>
      <c r="B369">
        <v>116</v>
      </c>
      <c r="C369">
        <v>175</v>
      </c>
      <c r="D369">
        <v>172</v>
      </c>
      <c r="E369" s="1">
        <v>7239</v>
      </c>
      <c r="F369">
        <v>202</v>
      </c>
    </row>
    <row r="370" spans="1:6" x14ac:dyDescent="0.3">
      <c r="A370" t="s">
        <v>374</v>
      </c>
      <c r="B370">
        <v>102</v>
      </c>
      <c r="C370">
        <v>227</v>
      </c>
      <c r="D370">
        <v>201</v>
      </c>
      <c r="E370" s="1">
        <v>7247</v>
      </c>
      <c r="F370">
        <v>294</v>
      </c>
    </row>
    <row r="371" spans="1:6" x14ac:dyDescent="0.3">
      <c r="A371" t="s">
        <v>375</v>
      </c>
      <c r="B371">
        <v>145</v>
      </c>
      <c r="C371">
        <v>247</v>
      </c>
      <c r="D371">
        <v>243</v>
      </c>
      <c r="E371" s="1">
        <v>7431</v>
      </c>
      <c r="F371">
        <v>235</v>
      </c>
    </row>
    <row r="372" spans="1:6" x14ac:dyDescent="0.3">
      <c r="A372" t="s">
        <v>376</v>
      </c>
      <c r="B372">
        <v>204</v>
      </c>
      <c r="C372">
        <v>321</v>
      </c>
      <c r="D372">
        <v>246</v>
      </c>
      <c r="E372" s="1">
        <v>7433</v>
      </c>
      <c r="F372">
        <v>198</v>
      </c>
    </row>
    <row r="373" spans="1:6" x14ac:dyDescent="0.3">
      <c r="A373" t="s">
        <v>377</v>
      </c>
      <c r="B373">
        <v>160</v>
      </c>
      <c r="C373">
        <v>297</v>
      </c>
      <c r="D373">
        <v>253</v>
      </c>
      <c r="E373" s="1">
        <v>7340</v>
      </c>
      <c r="F373">
        <v>214</v>
      </c>
    </row>
    <row r="374" spans="1:6" x14ac:dyDescent="0.3">
      <c r="A374" t="s">
        <v>378</v>
      </c>
      <c r="B374">
        <v>159</v>
      </c>
      <c r="C374">
        <v>310</v>
      </c>
      <c r="D374">
        <v>272</v>
      </c>
      <c r="E374" s="1">
        <v>7318</v>
      </c>
      <c r="F374">
        <v>224</v>
      </c>
    </row>
    <row r="375" spans="1:6" x14ac:dyDescent="0.3">
      <c r="A375" t="s">
        <v>379</v>
      </c>
      <c r="B375">
        <v>204</v>
      </c>
      <c r="C375">
        <v>315</v>
      </c>
      <c r="D375">
        <v>233</v>
      </c>
      <c r="E375" s="1">
        <v>7307</v>
      </c>
      <c r="F375">
        <v>294</v>
      </c>
    </row>
    <row r="376" spans="1:6" x14ac:dyDescent="0.3">
      <c r="A376" t="s">
        <v>380</v>
      </c>
      <c r="B376">
        <v>167</v>
      </c>
      <c r="C376">
        <v>293</v>
      </c>
      <c r="D376">
        <v>230</v>
      </c>
      <c r="E376" s="1">
        <v>7544</v>
      </c>
      <c r="F376">
        <v>259</v>
      </c>
    </row>
    <row r="377" spans="1:6" x14ac:dyDescent="0.3">
      <c r="A377" t="s">
        <v>381</v>
      </c>
      <c r="B377">
        <v>152</v>
      </c>
      <c r="C377">
        <v>266</v>
      </c>
      <c r="D377">
        <v>274</v>
      </c>
      <c r="E377" s="1">
        <v>7548</v>
      </c>
      <c r="F377">
        <v>212</v>
      </c>
    </row>
    <row r="378" spans="1:6" x14ac:dyDescent="0.3">
      <c r="A378" t="s">
        <v>382</v>
      </c>
      <c r="B378">
        <v>186</v>
      </c>
      <c r="C378">
        <v>352</v>
      </c>
      <c r="D378">
        <v>224</v>
      </c>
      <c r="E378" s="1">
        <v>7493</v>
      </c>
      <c r="F378">
        <v>156</v>
      </c>
    </row>
    <row r="379" spans="1:6" x14ac:dyDescent="0.3">
      <c r="A379" t="s">
        <v>383</v>
      </c>
      <c r="B379">
        <v>184</v>
      </c>
      <c r="C379">
        <v>334</v>
      </c>
      <c r="D379">
        <v>229</v>
      </c>
      <c r="E379" s="1">
        <v>7439</v>
      </c>
      <c r="F379">
        <v>212</v>
      </c>
    </row>
    <row r="380" spans="1:6" x14ac:dyDescent="0.3">
      <c r="A380" t="s">
        <v>384</v>
      </c>
      <c r="B380">
        <v>116</v>
      </c>
      <c r="C380">
        <v>289</v>
      </c>
      <c r="D380">
        <v>166</v>
      </c>
      <c r="E380" s="1">
        <v>7451</v>
      </c>
      <c r="F380">
        <v>312</v>
      </c>
    </row>
    <row r="381" spans="1:6" x14ac:dyDescent="0.3">
      <c r="A381" t="s">
        <v>385</v>
      </c>
      <c r="B381">
        <v>179</v>
      </c>
      <c r="C381">
        <v>326</v>
      </c>
      <c r="D381">
        <v>282</v>
      </c>
      <c r="E381" s="1">
        <v>7741</v>
      </c>
      <c r="F381">
        <v>238</v>
      </c>
    </row>
    <row r="382" spans="1:6" x14ac:dyDescent="0.3">
      <c r="A382" t="s">
        <v>386</v>
      </c>
      <c r="B382">
        <v>173</v>
      </c>
      <c r="C382">
        <v>345</v>
      </c>
      <c r="D382">
        <v>291</v>
      </c>
      <c r="E382" s="1">
        <v>7691</v>
      </c>
      <c r="F382">
        <v>198</v>
      </c>
    </row>
    <row r="383" spans="1:6" x14ac:dyDescent="0.3">
      <c r="A383" t="s">
        <v>387</v>
      </c>
      <c r="B383">
        <v>260</v>
      </c>
      <c r="C383">
        <v>356</v>
      </c>
      <c r="D383">
        <v>176</v>
      </c>
      <c r="E383" s="1">
        <v>7565</v>
      </c>
      <c r="F383">
        <v>203</v>
      </c>
    </row>
    <row r="384" spans="1:6" x14ac:dyDescent="0.3">
      <c r="A384" t="s">
        <v>388</v>
      </c>
      <c r="B384">
        <v>109</v>
      </c>
      <c r="C384">
        <v>244</v>
      </c>
      <c r="D384">
        <v>257</v>
      </c>
      <c r="E384" s="1">
        <v>7596</v>
      </c>
      <c r="F384">
        <v>224</v>
      </c>
    </row>
    <row r="385" spans="1:6" x14ac:dyDescent="0.3">
      <c r="A385" t="s">
        <v>389</v>
      </c>
      <c r="B385">
        <v>159</v>
      </c>
      <c r="C385">
        <v>330</v>
      </c>
      <c r="D385">
        <v>322</v>
      </c>
      <c r="E385" s="1">
        <v>7546</v>
      </c>
      <c r="F385">
        <v>306</v>
      </c>
    </row>
    <row r="386" spans="1:6" x14ac:dyDescent="0.3">
      <c r="A386" t="s">
        <v>390</v>
      </c>
      <c r="B386">
        <v>167</v>
      </c>
      <c r="C386">
        <v>406</v>
      </c>
      <c r="D386">
        <v>339</v>
      </c>
      <c r="E386" s="1">
        <v>7563</v>
      </c>
      <c r="F386">
        <v>190</v>
      </c>
    </row>
    <row r="387" spans="1:6" x14ac:dyDescent="0.3">
      <c r="A387" t="s">
        <v>391</v>
      </c>
      <c r="B387">
        <v>182</v>
      </c>
      <c r="C387">
        <v>462</v>
      </c>
      <c r="D387">
        <v>158</v>
      </c>
      <c r="E387" s="1">
        <v>7491</v>
      </c>
      <c r="F387">
        <v>141</v>
      </c>
    </row>
    <row r="388" spans="1:6" x14ac:dyDescent="0.3">
      <c r="A388" t="s">
        <v>392</v>
      </c>
      <c r="B388">
        <v>153</v>
      </c>
      <c r="C388">
        <v>348</v>
      </c>
      <c r="D388">
        <v>239</v>
      </c>
      <c r="E388" s="1">
        <v>7418</v>
      </c>
      <c r="F388">
        <v>151</v>
      </c>
    </row>
    <row r="389" spans="1:6" x14ac:dyDescent="0.3">
      <c r="A389" t="s">
        <v>393</v>
      </c>
      <c r="B389">
        <v>156</v>
      </c>
      <c r="C389">
        <v>344</v>
      </c>
      <c r="D389">
        <v>252</v>
      </c>
      <c r="E389" s="1">
        <v>7365</v>
      </c>
      <c r="F389">
        <v>167</v>
      </c>
    </row>
    <row r="390" spans="1:6" x14ac:dyDescent="0.3">
      <c r="A390" t="s">
        <v>394</v>
      </c>
      <c r="B390">
        <v>193</v>
      </c>
      <c r="C390">
        <v>272</v>
      </c>
      <c r="D390">
        <v>314</v>
      </c>
      <c r="E390" s="1">
        <v>7494</v>
      </c>
      <c r="F390">
        <v>227</v>
      </c>
    </row>
    <row r="391" spans="1:6" x14ac:dyDescent="0.3">
      <c r="A391" t="s">
        <v>395</v>
      </c>
      <c r="B391">
        <v>168</v>
      </c>
      <c r="C391">
        <v>349</v>
      </c>
      <c r="D391">
        <v>272</v>
      </c>
      <c r="E391" s="1">
        <v>7474</v>
      </c>
      <c r="F391">
        <v>208</v>
      </c>
    </row>
    <row r="392" spans="1:6" x14ac:dyDescent="0.3">
      <c r="A392" t="s">
        <v>396</v>
      </c>
      <c r="B392">
        <v>196</v>
      </c>
      <c r="C392">
        <v>348</v>
      </c>
      <c r="D392">
        <v>176</v>
      </c>
      <c r="E392" s="1">
        <v>7404</v>
      </c>
      <c r="F392">
        <v>145</v>
      </c>
    </row>
    <row r="393" spans="1:6" x14ac:dyDescent="0.3">
      <c r="A393" t="s">
        <v>397</v>
      </c>
      <c r="B393">
        <v>111</v>
      </c>
      <c r="C393">
        <v>268</v>
      </c>
      <c r="D393">
        <v>217</v>
      </c>
      <c r="E393" s="1">
        <v>7368</v>
      </c>
      <c r="F393">
        <v>192</v>
      </c>
    </row>
    <row r="394" spans="1:6" x14ac:dyDescent="0.3">
      <c r="A394" t="s">
        <v>398</v>
      </c>
      <c r="B394">
        <v>143</v>
      </c>
      <c r="C394">
        <v>295</v>
      </c>
      <c r="D394">
        <v>278</v>
      </c>
      <c r="E394" s="1">
        <v>7356</v>
      </c>
      <c r="F394">
        <v>298</v>
      </c>
    </row>
    <row r="395" spans="1:6" x14ac:dyDescent="0.3">
      <c r="A395" t="s">
        <v>399</v>
      </c>
      <c r="B395">
        <v>206</v>
      </c>
      <c r="C395">
        <v>340</v>
      </c>
      <c r="D395">
        <v>214</v>
      </c>
      <c r="E395" s="1">
        <v>7565</v>
      </c>
      <c r="F395">
        <v>234</v>
      </c>
    </row>
    <row r="396" spans="1:6" x14ac:dyDescent="0.3">
      <c r="A396" t="s">
        <v>400</v>
      </c>
      <c r="B396">
        <v>115</v>
      </c>
      <c r="C396">
        <v>285</v>
      </c>
      <c r="D396">
        <v>341</v>
      </c>
      <c r="E396" s="1">
        <v>7589</v>
      </c>
      <c r="F396">
        <v>265</v>
      </c>
    </row>
    <row r="397" spans="1:6" x14ac:dyDescent="0.3">
      <c r="A397" t="s">
        <v>401</v>
      </c>
      <c r="B397">
        <v>246</v>
      </c>
      <c r="C397">
        <v>419</v>
      </c>
      <c r="D397">
        <v>218</v>
      </c>
      <c r="E397" s="1">
        <v>7546</v>
      </c>
      <c r="F397">
        <v>186</v>
      </c>
    </row>
    <row r="398" spans="1:6" x14ac:dyDescent="0.3">
      <c r="A398" t="s">
        <v>402</v>
      </c>
      <c r="B398">
        <v>112</v>
      </c>
      <c r="C398">
        <v>331</v>
      </c>
      <c r="D398">
        <v>167</v>
      </c>
      <c r="E398" s="1">
        <v>7499</v>
      </c>
      <c r="F398">
        <v>157</v>
      </c>
    </row>
    <row r="399" spans="1:6" x14ac:dyDescent="0.3">
      <c r="A399" t="s">
        <v>403</v>
      </c>
      <c r="B399">
        <v>138</v>
      </c>
      <c r="C399">
        <v>301</v>
      </c>
      <c r="D399">
        <v>263</v>
      </c>
      <c r="E399" s="1">
        <v>7464</v>
      </c>
      <c r="F399">
        <v>245</v>
      </c>
    </row>
    <row r="400" spans="1:6" x14ac:dyDescent="0.3">
      <c r="A400" t="s">
        <v>404</v>
      </c>
      <c r="B400">
        <v>138</v>
      </c>
      <c r="C400">
        <v>285</v>
      </c>
      <c r="D400">
        <v>268</v>
      </c>
      <c r="E400" s="1">
        <v>7570</v>
      </c>
      <c r="F400">
        <v>244</v>
      </c>
    </row>
    <row r="401" spans="1:6" x14ac:dyDescent="0.3">
      <c r="A401" t="s">
        <v>405</v>
      </c>
      <c r="B401">
        <v>167</v>
      </c>
      <c r="C401">
        <v>374</v>
      </c>
      <c r="D401">
        <v>205</v>
      </c>
      <c r="E401" s="1">
        <v>7583</v>
      </c>
      <c r="F401">
        <v>202</v>
      </c>
    </row>
    <row r="402" spans="1:6" x14ac:dyDescent="0.3">
      <c r="A402" t="s">
        <v>406</v>
      </c>
      <c r="B402">
        <v>176</v>
      </c>
      <c r="C402">
        <v>334</v>
      </c>
      <c r="D402">
        <v>246</v>
      </c>
      <c r="E402" s="1">
        <v>7566</v>
      </c>
      <c r="F402">
        <v>163</v>
      </c>
    </row>
    <row r="403" spans="1:6" x14ac:dyDescent="0.3">
      <c r="A403" t="s">
        <v>407</v>
      </c>
      <c r="B403">
        <v>173</v>
      </c>
      <c r="C403">
        <v>337</v>
      </c>
      <c r="D403">
        <v>211</v>
      </c>
      <c r="E403" s="1">
        <v>7449</v>
      </c>
      <c r="F403">
        <v>205</v>
      </c>
    </row>
    <row r="404" spans="1:6" x14ac:dyDescent="0.3">
      <c r="A404" t="s">
        <v>408</v>
      </c>
      <c r="B404">
        <v>150</v>
      </c>
      <c r="C404">
        <v>315</v>
      </c>
      <c r="D404">
        <v>228</v>
      </c>
      <c r="E404" s="1">
        <v>7447</v>
      </c>
      <c r="F404">
        <v>332</v>
      </c>
    </row>
    <row r="405" spans="1:6" x14ac:dyDescent="0.3">
      <c r="A405" t="s">
        <v>409</v>
      </c>
      <c r="B405">
        <v>206</v>
      </c>
      <c r="C405">
        <v>411</v>
      </c>
      <c r="D405">
        <v>293</v>
      </c>
      <c r="E405" s="1">
        <v>7577</v>
      </c>
      <c r="F405">
        <v>194</v>
      </c>
    </row>
    <row r="406" spans="1:6" x14ac:dyDescent="0.3">
      <c r="A406" t="s">
        <v>410</v>
      </c>
      <c r="B406">
        <v>197</v>
      </c>
      <c r="C406">
        <v>437</v>
      </c>
      <c r="D406">
        <v>295</v>
      </c>
      <c r="E406" s="1">
        <v>7508</v>
      </c>
      <c r="F406">
        <v>190</v>
      </c>
    </row>
    <row r="407" spans="1:6" x14ac:dyDescent="0.3">
      <c r="A407" t="s">
        <v>411</v>
      </c>
      <c r="B407">
        <v>220</v>
      </c>
      <c r="C407">
        <v>443</v>
      </c>
      <c r="D407">
        <v>194</v>
      </c>
      <c r="E407" s="1">
        <v>7431</v>
      </c>
      <c r="F407">
        <v>135</v>
      </c>
    </row>
    <row r="408" spans="1:6" x14ac:dyDescent="0.3">
      <c r="A408" t="s">
        <v>412</v>
      </c>
      <c r="B408">
        <v>140</v>
      </c>
      <c r="C408">
        <v>292</v>
      </c>
      <c r="D408">
        <v>255</v>
      </c>
      <c r="E408" s="1">
        <v>7373</v>
      </c>
      <c r="F408">
        <v>187</v>
      </c>
    </row>
    <row r="409" spans="1:6" x14ac:dyDescent="0.3">
      <c r="A409" t="s">
        <v>413</v>
      </c>
      <c r="B409">
        <v>158</v>
      </c>
      <c r="C409">
        <v>349</v>
      </c>
      <c r="D409">
        <v>365</v>
      </c>
      <c r="E409" s="1">
        <v>7298</v>
      </c>
      <c r="F409">
        <v>250</v>
      </c>
    </row>
    <row r="410" spans="1:6" x14ac:dyDescent="0.3">
      <c r="A410" t="s">
        <v>414</v>
      </c>
      <c r="B410">
        <v>145</v>
      </c>
      <c r="C410">
        <v>357</v>
      </c>
      <c r="D410">
        <v>333</v>
      </c>
      <c r="E410" s="1">
        <v>7209</v>
      </c>
      <c r="F410">
        <v>217</v>
      </c>
    </row>
    <row r="411" spans="1:6" x14ac:dyDescent="0.3">
      <c r="A411" t="s">
        <v>415</v>
      </c>
      <c r="B411">
        <v>253</v>
      </c>
      <c r="C411">
        <v>411</v>
      </c>
      <c r="D411">
        <v>307</v>
      </c>
      <c r="E411" s="1">
        <v>7128</v>
      </c>
      <c r="F411">
        <v>154</v>
      </c>
    </row>
    <row r="412" spans="1:6" x14ac:dyDescent="0.3">
      <c r="A412" t="s">
        <v>416</v>
      </c>
      <c r="B412">
        <v>252</v>
      </c>
      <c r="C412">
        <v>427</v>
      </c>
      <c r="D412">
        <v>307</v>
      </c>
      <c r="E412" s="1">
        <v>6967</v>
      </c>
      <c r="F412">
        <v>134</v>
      </c>
    </row>
    <row r="413" spans="1:6" x14ac:dyDescent="0.3">
      <c r="A413" t="s">
        <v>417</v>
      </c>
      <c r="B413">
        <v>176</v>
      </c>
      <c r="C413">
        <v>424</v>
      </c>
      <c r="D413">
        <v>251</v>
      </c>
      <c r="E413" s="1">
        <v>6799</v>
      </c>
      <c r="F413">
        <v>214</v>
      </c>
    </row>
    <row r="414" spans="1:6" x14ac:dyDescent="0.3">
      <c r="A414" t="s">
        <v>418</v>
      </c>
      <c r="B414">
        <v>208</v>
      </c>
      <c r="C414">
        <v>380</v>
      </c>
      <c r="D414">
        <v>343</v>
      </c>
      <c r="E414" s="1">
        <v>6745</v>
      </c>
      <c r="F414">
        <v>240</v>
      </c>
    </row>
    <row r="415" spans="1:6" x14ac:dyDescent="0.3">
      <c r="A415" t="s">
        <v>419</v>
      </c>
      <c r="B415">
        <v>144</v>
      </c>
      <c r="C415">
        <v>322</v>
      </c>
      <c r="D415">
        <v>258</v>
      </c>
      <c r="E415" s="1">
        <v>6728</v>
      </c>
      <c r="F415">
        <v>260</v>
      </c>
    </row>
    <row r="416" spans="1:6" x14ac:dyDescent="0.3">
      <c r="A416" t="s">
        <v>420</v>
      </c>
      <c r="B416">
        <v>182</v>
      </c>
      <c r="C416">
        <v>371</v>
      </c>
      <c r="D416">
        <v>274</v>
      </c>
      <c r="E416" s="1">
        <v>6725</v>
      </c>
      <c r="F416">
        <v>227</v>
      </c>
    </row>
    <row r="417" spans="1:6" x14ac:dyDescent="0.3">
      <c r="A417" t="s">
        <v>421</v>
      </c>
      <c r="B417">
        <v>219</v>
      </c>
      <c r="C417">
        <v>392</v>
      </c>
      <c r="D417">
        <v>205</v>
      </c>
      <c r="E417" s="1">
        <v>6685</v>
      </c>
      <c r="F417">
        <v>163</v>
      </c>
    </row>
    <row r="418" spans="1:6" x14ac:dyDescent="0.3">
      <c r="A418" t="s">
        <v>422</v>
      </c>
      <c r="B418">
        <v>144</v>
      </c>
      <c r="C418">
        <v>303</v>
      </c>
      <c r="D418">
        <v>176</v>
      </c>
      <c r="E418" s="1">
        <v>6681</v>
      </c>
      <c r="F418">
        <v>191</v>
      </c>
    </row>
    <row r="419" spans="1:6" x14ac:dyDescent="0.3">
      <c r="A419" t="s">
        <v>423</v>
      </c>
      <c r="B419">
        <v>128</v>
      </c>
      <c r="C419">
        <v>245</v>
      </c>
      <c r="D419">
        <v>243</v>
      </c>
      <c r="E419" s="1">
        <v>6630</v>
      </c>
      <c r="F419">
        <v>290</v>
      </c>
    </row>
    <row r="420" spans="1:6" x14ac:dyDescent="0.3">
      <c r="A420" t="s">
        <v>424</v>
      </c>
      <c r="B420">
        <v>183</v>
      </c>
      <c r="C420">
        <v>221</v>
      </c>
      <c r="D420">
        <v>220</v>
      </c>
      <c r="E420" s="1">
        <v>6912</v>
      </c>
      <c r="F420">
        <v>285</v>
      </c>
    </row>
    <row r="421" spans="1:6" x14ac:dyDescent="0.3">
      <c r="A421" t="s">
        <v>425</v>
      </c>
      <c r="B421">
        <v>117</v>
      </c>
      <c r="C421">
        <v>244</v>
      </c>
      <c r="D421">
        <v>142</v>
      </c>
      <c r="E421" s="1">
        <v>6999</v>
      </c>
      <c r="F421">
        <v>227</v>
      </c>
    </row>
    <row r="422" spans="1:6" x14ac:dyDescent="0.3">
      <c r="A422" t="s">
        <v>426</v>
      </c>
      <c r="B422">
        <v>118</v>
      </c>
      <c r="C422">
        <v>231</v>
      </c>
      <c r="D422">
        <v>217</v>
      </c>
      <c r="E422" s="1">
        <v>7043</v>
      </c>
      <c r="F422">
        <v>130</v>
      </c>
    </row>
    <row r="423" spans="1:6" x14ac:dyDescent="0.3">
      <c r="A423" t="s">
        <v>427</v>
      </c>
      <c r="B423">
        <v>102</v>
      </c>
      <c r="C423">
        <v>230</v>
      </c>
      <c r="D423">
        <v>167</v>
      </c>
      <c r="E423" s="1">
        <v>6988</v>
      </c>
      <c r="F423">
        <v>199</v>
      </c>
    </row>
    <row r="424" spans="1:6" x14ac:dyDescent="0.3">
      <c r="A424" t="s">
        <v>428</v>
      </c>
      <c r="B424">
        <v>106</v>
      </c>
      <c r="C424">
        <v>239</v>
      </c>
      <c r="D424">
        <v>233</v>
      </c>
      <c r="E424" s="1">
        <v>6982</v>
      </c>
      <c r="F424">
        <v>279</v>
      </c>
    </row>
    <row r="425" spans="1:6" x14ac:dyDescent="0.3">
      <c r="A425" t="s">
        <v>429</v>
      </c>
      <c r="B425">
        <v>95</v>
      </c>
      <c r="C425">
        <v>226</v>
      </c>
      <c r="D425">
        <v>152</v>
      </c>
      <c r="E425" s="1">
        <v>7317</v>
      </c>
      <c r="F425">
        <v>225</v>
      </c>
    </row>
    <row r="426" spans="1:6" x14ac:dyDescent="0.3">
      <c r="A426" t="s">
        <v>430</v>
      </c>
      <c r="B426">
        <v>124</v>
      </c>
      <c r="C426">
        <v>230</v>
      </c>
      <c r="D426">
        <v>190</v>
      </c>
      <c r="E426" s="1">
        <v>7346</v>
      </c>
      <c r="F426">
        <v>163</v>
      </c>
    </row>
    <row r="427" spans="1:6" x14ac:dyDescent="0.3">
      <c r="A427" t="s">
        <v>431</v>
      </c>
      <c r="B427">
        <v>101</v>
      </c>
      <c r="C427">
        <v>230</v>
      </c>
      <c r="D427">
        <v>175</v>
      </c>
      <c r="E427" s="1">
        <v>7340</v>
      </c>
      <c r="F427">
        <v>132</v>
      </c>
    </row>
    <row r="428" spans="1:6" x14ac:dyDescent="0.3">
      <c r="A428" t="s">
        <v>432</v>
      </c>
      <c r="B428">
        <v>109</v>
      </c>
      <c r="C428">
        <v>235</v>
      </c>
      <c r="D428">
        <v>171</v>
      </c>
      <c r="E428" s="1">
        <v>7271</v>
      </c>
      <c r="F428">
        <v>172</v>
      </c>
    </row>
    <row r="429" spans="1:6" x14ac:dyDescent="0.3">
      <c r="A429" t="s">
        <v>433</v>
      </c>
      <c r="B429">
        <v>105</v>
      </c>
      <c r="C429">
        <v>254</v>
      </c>
      <c r="D429">
        <v>151</v>
      </c>
      <c r="E429" s="1">
        <v>7257</v>
      </c>
      <c r="F429">
        <v>287</v>
      </c>
    </row>
    <row r="430" spans="1:6" x14ac:dyDescent="0.3">
      <c r="A430" t="s">
        <v>434</v>
      </c>
      <c r="B430">
        <v>161</v>
      </c>
      <c r="C430">
        <v>288</v>
      </c>
      <c r="D430">
        <v>248</v>
      </c>
      <c r="E430" s="1">
        <v>7762</v>
      </c>
      <c r="F430">
        <v>360</v>
      </c>
    </row>
    <row r="431" spans="1:6" x14ac:dyDescent="0.3">
      <c r="A431" t="s">
        <v>435</v>
      </c>
      <c r="B431">
        <v>129</v>
      </c>
      <c r="C431">
        <v>287</v>
      </c>
      <c r="D431">
        <v>185</v>
      </c>
      <c r="E431" s="1">
        <v>7893</v>
      </c>
      <c r="F431">
        <v>215</v>
      </c>
    </row>
    <row r="432" spans="1:6" x14ac:dyDescent="0.3">
      <c r="A432" t="s">
        <v>436</v>
      </c>
      <c r="B432">
        <v>187</v>
      </c>
      <c r="C432">
        <v>276</v>
      </c>
      <c r="D432">
        <v>200</v>
      </c>
      <c r="E432" s="1">
        <v>7919</v>
      </c>
      <c r="F432">
        <v>208</v>
      </c>
    </row>
    <row r="433" spans="1:6" x14ac:dyDescent="0.3">
      <c r="A433" t="s">
        <v>437</v>
      </c>
      <c r="B433">
        <v>128</v>
      </c>
      <c r="C433">
        <v>242</v>
      </c>
      <c r="D433">
        <v>224</v>
      </c>
      <c r="E433" s="1">
        <v>7899</v>
      </c>
      <c r="F433">
        <v>229</v>
      </c>
    </row>
    <row r="434" spans="1:6" x14ac:dyDescent="0.3">
      <c r="A434" t="s">
        <v>438</v>
      </c>
      <c r="B434">
        <v>124</v>
      </c>
      <c r="C434">
        <v>264</v>
      </c>
      <c r="D434">
        <v>221</v>
      </c>
      <c r="E434" s="1">
        <v>7899</v>
      </c>
      <c r="F434">
        <v>373</v>
      </c>
    </row>
    <row r="435" spans="1:6" x14ac:dyDescent="0.3">
      <c r="A435" t="s">
        <v>439</v>
      </c>
      <c r="B435">
        <v>132</v>
      </c>
      <c r="C435">
        <v>261</v>
      </c>
      <c r="D435">
        <v>141</v>
      </c>
      <c r="E435" s="1">
        <v>8292</v>
      </c>
      <c r="F435">
        <v>235</v>
      </c>
    </row>
    <row r="436" spans="1:6" x14ac:dyDescent="0.3">
      <c r="A436" t="s">
        <v>440</v>
      </c>
      <c r="B436">
        <v>91</v>
      </c>
      <c r="C436">
        <v>181</v>
      </c>
      <c r="D436">
        <v>174</v>
      </c>
      <c r="E436" s="1">
        <v>8365</v>
      </c>
      <c r="F436">
        <v>227</v>
      </c>
    </row>
    <row r="437" spans="1:6" x14ac:dyDescent="0.3">
      <c r="A437" t="s">
        <v>441</v>
      </c>
      <c r="B437">
        <v>99</v>
      </c>
      <c r="C437">
        <v>202</v>
      </c>
      <c r="D437">
        <v>256</v>
      </c>
      <c r="E437" s="1">
        <v>8390</v>
      </c>
      <c r="F437">
        <v>197</v>
      </c>
    </row>
    <row r="438" spans="1:6" x14ac:dyDescent="0.3">
      <c r="A438" t="s">
        <v>442</v>
      </c>
      <c r="B438">
        <v>123</v>
      </c>
      <c r="C438">
        <v>243</v>
      </c>
      <c r="D438">
        <v>188</v>
      </c>
      <c r="E438" s="1">
        <v>8333</v>
      </c>
      <c r="F438">
        <v>283</v>
      </c>
    </row>
    <row r="439" spans="1:6" x14ac:dyDescent="0.3">
      <c r="A439" t="s">
        <v>443</v>
      </c>
      <c r="B439">
        <v>127</v>
      </c>
      <c r="C439">
        <v>260</v>
      </c>
      <c r="D439">
        <v>259</v>
      </c>
      <c r="E439" s="1">
        <v>8373</v>
      </c>
      <c r="F439">
        <v>342</v>
      </c>
    </row>
    <row r="440" spans="1:6" x14ac:dyDescent="0.3">
      <c r="A440" t="s">
        <v>444</v>
      </c>
      <c r="B440">
        <v>166</v>
      </c>
      <c r="C440">
        <v>301</v>
      </c>
      <c r="D440">
        <v>252</v>
      </c>
      <c r="E440" s="1">
        <v>8695</v>
      </c>
      <c r="F440">
        <v>310</v>
      </c>
    </row>
    <row r="441" spans="1:6" x14ac:dyDescent="0.3">
      <c r="A441" t="s">
        <v>445</v>
      </c>
      <c r="B441">
        <v>165</v>
      </c>
      <c r="C441">
        <v>358</v>
      </c>
      <c r="D441">
        <v>167</v>
      </c>
      <c r="E441" s="1">
        <v>8819</v>
      </c>
      <c r="F441">
        <v>239</v>
      </c>
    </row>
    <row r="442" spans="1:6" x14ac:dyDescent="0.3">
      <c r="A442" t="s">
        <v>446</v>
      </c>
      <c r="B442">
        <v>154</v>
      </c>
      <c r="C442">
        <v>294</v>
      </c>
      <c r="D442">
        <v>290</v>
      </c>
      <c r="E442" s="1">
        <v>8843</v>
      </c>
      <c r="F442">
        <v>213</v>
      </c>
    </row>
    <row r="443" spans="1:6" x14ac:dyDescent="0.3">
      <c r="A443" t="s">
        <v>447</v>
      </c>
      <c r="B443">
        <v>178</v>
      </c>
      <c r="C443">
        <v>336</v>
      </c>
      <c r="D443">
        <v>290</v>
      </c>
      <c r="E443" s="1">
        <v>8757</v>
      </c>
      <c r="F443">
        <v>253</v>
      </c>
    </row>
    <row r="444" spans="1:6" x14ac:dyDescent="0.3">
      <c r="A444" t="s">
        <v>448</v>
      </c>
      <c r="B444">
        <v>190</v>
      </c>
      <c r="C444">
        <v>368</v>
      </c>
      <c r="D444">
        <v>326</v>
      </c>
      <c r="E444" s="1">
        <v>8714</v>
      </c>
      <c r="F444">
        <v>373</v>
      </c>
    </row>
    <row r="445" spans="1:6" x14ac:dyDescent="0.3">
      <c r="A445" t="s">
        <v>449</v>
      </c>
      <c r="B445">
        <v>181</v>
      </c>
      <c r="C445">
        <v>424</v>
      </c>
      <c r="D445">
        <v>328</v>
      </c>
      <c r="E445" s="1">
        <v>8902</v>
      </c>
      <c r="F445">
        <v>305</v>
      </c>
    </row>
    <row r="446" spans="1:6" x14ac:dyDescent="0.3">
      <c r="A446" t="s">
        <v>450</v>
      </c>
      <c r="B446">
        <v>230</v>
      </c>
      <c r="C446">
        <v>457</v>
      </c>
      <c r="D446">
        <v>277</v>
      </c>
      <c r="E446" s="1">
        <v>8870</v>
      </c>
      <c r="F446">
        <v>232</v>
      </c>
    </row>
    <row r="447" spans="1:6" x14ac:dyDescent="0.3">
      <c r="A447" t="s">
        <v>451</v>
      </c>
      <c r="B447">
        <v>246</v>
      </c>
      <c r="C447">
        <v>472</v>
      </c>
      <c r="D447">
        <v>345</v>
      </c>
      <c r="E447" s="1">
        <v>8800</v>
      </c>
      <c r="F447">
        <v>214</v>
      </c>
    </row>
    <row r="448" spans="1:6" x14ac:dyDescent="0.3">
      <c r="A448" t="s">
        <v>452</v>
      </c>
      <c r="B448">
        <v>225</v>
      </c>
      <c r="C448">
        <v>509</v>
      </c>
      <c r="D448">
        <v>340</v>
      </c>
      <c r="E448" s="1">
        <v>8660</v>
      </c>
      <c r="F448">
        <v>229</v>
      </c>
    </row>
    <row r="449" spans="1:6" x14ac:dyDescent="0.3">
      <c r="A449" t="s">
        <v>453</v>
      </c>
      <c r="B449">
        <v>236</v>
      </c>
      <c r="C449">
        <v>468</v>
      </c>
      <c r="D449">
        <v>347</v>
      </c>
      <c r="E449" s="1">
        <v>8594</v>
      </c>
      <c r="F449">
        <v>354</v>
      </c>
    </row>
    <row r="450" spans="1:6" x14ac:dyDescent="0.3">
      <c r="A450" t="s">
        <v>454</v>
      </c>
      <c r="B450">
        <v>262</v>
      </c>
      <c r="C450">
        <v>444</v>
      </c>
      <c r="D450">
        <v>354</v>
      </c>
      <c r="E450" s="1">
        <v>8724</v>
      </c>
      <c r="F450">
        <v>299</v>
      </c>
    </row>
    <row r="451" spans="1:6" x14ac:dyDescent="0.3">
      <c r="A451" t="s">
        <v>455</v>
      </c>
      <c r="B451">
        <v>209</v>
      </c>
      <c r="C451">
        <v>447</v>
      </c>
      <c r="D451">
        <v>274</v>
      </c>
      <c r="E451" s="1">
        <v>8699</v>
      </c>
      <c r="F451">
        <v>257</v>
      </c>
    </row>
    <row r="452" spans="1:6" x14ac:dyDescent="0.3">
      <c r="A452" t="s">
        <v>456</v>
      </c>
      <c r="B452">
        <v>197</v>
      </c>
      <c r="C452">
        <v>369</v>
      </c>
      <c r="D452">
        <v>306</v>
      </c>
      <c r="E452" s="1">
        <v>8650</v>
      </c>
      <c r="F452">
        <v>206</v>
      </c>
    </row>
    <row r="453" spans="1:6" x14ac:dyDescent="0.3">
      <c r="A453" t="s">
        <v>457</v>
      </c>
      <c r="B453">
        <v>199</v>
      </c>
      <c r="C453">
        <v>438</v>
      </c>
      <c r="D453">
        <v>326</v>
      </c>
      <c r="E453" s="1">
        <v>8404</v>
      </c>
      <c r="F453">
        <v>329</v>
      </c>
    </row>
    <row r="454" spans="1:6" x14ac:dyDescent="0.3">
      <c r="A454" t="s">
        <v>458</v>
      </c>
      <c r="B454">
        <v>244</v>
      </c>
      <c r="C454">
        <v>482</v>
      </c>
      <c r="D454">
        <v>366</v>
      </c>
      <c r="E454" s="1">
        <v>8404</v>
      </c>
      <c r="F454">
        <v>329</v>
      </c>
    </row>
    <row r="455" spans="1:6" x14ac:dyDescent="0.3">
      <c r="A455" t="s">
        <v>459</v>
      </c>
      <c r="B455">
        <v>165</v>
      </c>
      <c r="C455">
        <v>400</v>
      </c>
      <c r="D455">
        <v>292</v>
      </c>
      <c r="E455" s="1">
        <v>8607</v>
      </c>
      <c r="F455">
        <v>293</v>
      </c>
    </row>
    <row r="456" spans="1:6" x14ac:dyDescent="0.3">
      <c r="A456" t="s">
        <v>460</v>
      </c>
      <c r="B456">
        <v>232</v>
      </c>
      <c r="C456">
        <v>430</v>
      </c>
      <c r="D456">
        <v>318</v>
      </c>
      <c r="E456" s="1">
        <v>8573</v>
      </c>
      <c r="F456">
        <v>231</v>
      </c>
    </row>
    <row r="457" spans="1:6" x14ac:dyDescent="0.3">
      <c r="A457" t="s">
        <v>461</v>
      </c>
      <c r="B457">
        <v>149</v>
      </c>
      <c r="C457">
        <v>395</v>
      </c>
      <c r="D457">
        <v>273</v>
      </c>
      <c r="E457" s="1">
        <v>8488</v>
      </c>
      <c r="F457">
        <v>192</v>
      </c>
    </row>
    <row r="458" spans="1:6" x14ac:dyDescent="0.3">
      <c r="A458" t="s">
        <v>462</v>
      </c>
      <c r="B458">
        <v>249</v>
      </c>
      <c r="C458">
        <v>420</v>
      </c>
      <c r="D458">
        <v>371</v>
      </c>
      <c r="E458" s="1">
        <v>8380</v>
      </c>
      <c r="F458">
        <v>218</v>
      </c>
    </row>
    <row r="459" spans="1:6" x14ac:dyDescent="0.3">
      <c r="A459" t="s">
        <v>463</v>
      </c>
      <c r="B459">
        <v>333</v>
      </c>
      <c r="C459">
        <v>508</v>
      </c>
      <c r="D459">
        <v>272</v>
      </c>
      <c r="E459" s="1">
        <v>8463</v>
      </c>
      <c r="F459">
        <v>312</v>
      </c>
    </row>
    <row r="460" spans="1:6" x14ac:dyDescent="0.3">
      <c r="A460" t="s">
        <v>464</v>
      </c>
      <c r="B460">
        <v>185</v>
      </c>
      <c r="C460">
        <v>322</v>
      </c>
      <c r="D460">
        <v>272</v>
      </c>
      <c r="E460" s="1">
        <v>8512</v>
      </c>
      <c r="F460">
        <v>230</v>
      </c>
    </row>
    <row r="461" spans="1:6" x14ac:dyDescent="0.3">
      <c r="A461" t="s">
        <v>465</v>
      </c>
      <c r="B461">
        <v>227</v>
      </c>
      <c r="C461">
        <v>369</v>
      </c>
      <c r="D461">
        <v>349</v>
      </c>
      <c r="E461" s="1">
        <v>8348</v>
      </c>
      <c r="F461">
        <v>160</v>
      </c>
    </row>
    <row r="462" spans="1:6" x14ac:dyDescent="0.3">
      <c r="A462" t="s">
        <v>466</v>
      </c>
      <c r="B462">
        <v>213</v>
      </c>
      <c r="C462">
        <v>430</v>
      </c>
      <c r="D462">
        <v>440</v>
      </c>
      <c r="E462" s="1">
        <v>8092</v>
      </c>
      <c r="F462">
        <v>234</v>
      </c>
    </row>
    <row r="463" spans="1:6" x14ac:dyDescent="0.3">
      <c r="A463" t="s">
        <v>467</v>
      </c>
      <c r="B463">
        <v>205</v>
      </c>
      <c r="C463">
        <v>515</v>
      </c>
      <c r="D463">
        <v>226</v>
      </c>
      <c r="E463" s="1">
        <v>8056</v>
      </c>
      <c r="F463">
        <v>347</v>
      </c>
    </row>
    <row r="464" spans="1:6" x14ac:dyDescent="0.3">
      <c r="A464" t="s">
        <v>468</v>
      </c>
      <c r="B464">
        <v>298</v>
      </c>
      <c r="C464">
        <v>499</v>
      </c>
      <c r="D464">
        <v>358</v>
      </c>
      <c r="E464" s="1">
        <v>8188</v>
      </c>
      <c r="F464">
        <v>315</v>
      </c>
    </row>
    <row r="465" spans="1:6" x14ac:dyDescent="0.3">
      <c r="A465" t="s">
        <v>469</v>
      </c>
      <c r="B465">
        <v>227</v>
      </c>
      <c r="C465">
        <v>453</v>
      </c>
      <c r="D465">
        <v>330</v>
      </c>
      <c r="E465" s="1">
        <v>8160</v>
      </c>
      <c r="F465">
        <v>222</v>
      </c>
    </row>
    <row r="466" spans="1:6" x14ac:dyDescent="0.3">
      <c r="A466" t="s">
        <v>470</v>
      </c>
      <c r="B466">
        <v>291</v>
      </c>
      <c r="C466">
        <v>455</v>
      </c>
      <c r="D466">
        <v>323</v>
      </c>
      <c r="E466" s="1">
        <v>8045</v>
      </c>
      <c r="F466">
        <v>178</v>
      </c>
    </row>
    <row r="467" spans="1:6" x14ac:dyDescent="0.3">
      <c r="A467" t="s">
        <v>471</v>
      </c>
      <c r="B467">
        <v>157</v>
      </c>
      <c r="C467">
        <v>466</v>
      </c>
      <c r="D467">
        <v>345</v>
      </c>
      <c r="E467" s="1">
        <v>7872</v>
      </c>
      <c r="F467">
        <v>242</v>
      </c>
    </row>
    <row r="468" spans="1:6" x14ac:dyDescent="0.3">
      <c r="A468" t="s">
        <v>472</v>
      </c>
      <c r="B468">
        <v>253</v>
      </c>
      <c r="C468">
        <v>531</v>
      </c>
      <c r="D468">
        <v>248</v>
      </c>
      <c r="E468" s="1">
        <v>7813</v>
      </c>
      <c r="F468">
        <v>342</v>
      </c>
    </row>
    <row r="469" spans="1:6" x14ac:dyDescent="0.3">
      <c r="A469" t="s">
        <v>473</v>
      </c>
      <c r="B469">
        <v>222</v>
      </c>
      <c r="C469">
        <v>459</v>
      </c>
      <c r="D469">
        <v>289</v>
      </c>
      <c r="E469" s="1">
        <v>8026</v>
      </c>
      <c r="F469">
        <v>337</v>
      </c>
    </row>
    <row r="470" spans="1:6" x14ac:dyDescent="0.3">
      <c r="A470" t="s">
        <v>474</v>
      </c>
      <c r="B470">
        <v>203</v>
      </c>
      <c r="C470">
        <v>477</v>
      </c>
      <c r="D470">
        <v>258</v>
      </c>
      <c r="E470" s="1">
        <v>8153</v>
      </c>
      <c r="F470">
        <v>266</v>
      </c>
    </row>
    <row r="471" spans="1:6" x14ac:dyDescent="0.3">
      <c r="A471" t="s">
        <v>475</v>
      </c>
      <c r="B471">
        <v>93</v>
      </c>
      <c r="C471">
        <v>198</v>
      </c>
      <c r="D471">
        <v>208</v>
      </c>
      <c r="E471" s="1">
        <v>8182</v>
      </c>
      <c r="F471">
        <v>187</v>
      </c>
    </row>
    <row r="472" spans="1:6" x14ac:dyDescent="0.3">
      <c r="A472" t="s">
        <v>476</v>
      </c>
      <c r="B472">
        <v>137</v>
      </c>
      <c r="C472">
        <v>272</v>
      </c>
      <c r="D472">
        <v>166</v>
      </c>
      <c r="E472" s="1">
        <v>8057</v>
      </c>
      <c r="F472">
        <v>195</v>
      </c>
    </row>
    <row r="473" spans="1:6" x14ac:dyDescent="0.3">
      <c r="A473" t="s">
        <v>477</v>
      </c>
      <c r="B473">
        <v>120</v>
      </c>
      <c r="C473">
        <v>257</v>
      </c>
      <c r="D473">
        <v>126</v>
      </c>
      <c r="E473" s="1">
        <v>8004</v>
      </c>
      <c r="F473">
        <v>307</v>
      </c>
    </row>
    <row r="474" spans="1:6" x14ac:dyDescent="0.3">
      <c r="A474" t="s">
        <v>478</v>
      </c>
      <c r="B474">
        <v>102</v>
      </c>
      <c r="C474">
        <v>189</v>
      </c>
      <c r="D474">
        <v>155</v>
      </c>
      <c r="E474" s="1">
        <v>8180</v>
      </c>
      <c r="F474">
        <v>293</v>
      </c>
    </row>
    <row r="475" spans="1:6" x14ac:dyDescent="0.3">
      <c r="A475" t="s">
        <v>479</v>
      </c>
      <c r="B475">
        <v>90</v>
      </c>
      <c r="C475">
        <v>196</v>
      </c>
      <c r="D475">
        <v>205</v>
      </c>
      <c r="E475" s="1">
        <v>8212</v>
      </c>
      <c r="F475">
        <v>243</v>
      </c>
    </row>
    <row r="476" spans="1:6" x14ac:dyDescent="0.3">
      <c r="A476" t="s">
        <v>480</v>
      </c>
      <c r="B476">
        <v>128</v>
      </c>
      <c r="C476">
        <v>228</v>
      </c>
      <c r="D476">
        <v>177</v>
      </c>
      <c r="E476" s="1">
        <v>8133</v>
      </c>
      <c r="F476">
        <v>202</v>
      </c>
    </row>
    <row r="477" spans="1:6" x14ac:dyDescent="0.3">
      <c r="A477" t="s">
        <v>481</v>
      </c>
      <c r="B477">
        <v>136</v>
      </c>
      <c r="C477">
        <v>246</v>
      </c>
      <c r="D477">
        <v>123</v>
      </c>
      <c r="E477" s="1">
        <v>8008</v>
      </c>
      <c r="F477">
        <v>222</v>
      </c>
    </row>
    <row r="478" spans="1:6" x14ac:dyDescent="0.3">
      <c r="A478" t="s">
        <v>482</v>
      </c>
      <c r="B478">
        <v>105</v>
      </c>
      <c r="C478">
        <v>185</v>
      </c>
      <c r="D478">
        <v>158</v>
      </c>
      <c r="E478" s="1">
        <v>7974</v>
      </c>
      <c r="F478">
        <v>371</v>
      </c>
    </row>
    <row r="479" spans="1:6" x14ac:dyDescent="0.3">
      <c r="A479" t="s">
        <v>483</v>
      </c>
      <c r="B479">
        <v>116</v>
      </c>
      <c r="C479">
        <v>188</v>
      </c>
      <c r="D479">
        <v>164</v>
      </c>
      <c r="E479" s="1">
        <v>8042</v>
      </c>
      <c r="F479">
        <v>359</v>
      </c>
    </row>
    <row r="480" spans="1:6" x14ac:dyDescent="0.3">
      <c r="A480" t="s">
        <v>484</v>
      </c>
      <c r="B480">
        <v>80</v>
      </c>
      <c r="C480">
        <v>176</v>
      </c>
      <c r="D480">
        <v>125</v>
      </c>
      <c r="E480" s="1">
        <v>8072</v>
      </c>
      <c r="F480">
        <v>353</v>
      </c>
    </row>
    <row r="481" spans="1:6" x14ac:dyDescent="0.3">
      <c r="A481" t="s">
        <v>485</v>
      </c>
      <c r="B481">
        <v>32</v>
      </c>
      <c r="C481">
        <v>49</v>
      </c>
      <c r="D481">
        <v>39</v>
      </c>
      <c r="E481" s="1">
        <v>8133</v>
      </c>
      <c r="F481">
        <v>188</v>
      </c>
    </row>
    <row r="482" spans="1:6" x14ac:dyDescent="0.3">
      <c r="A482" t="s">
        <v>486</v>
      </c>
      <c r="B482">
        <v>33</v>
      </c>
      <c r="C482">
        <v>53</v>
      </c>
      <c r="D482">
        <v>34</v>
      </c>
      <c r="E482" s="1">
        <v>8033</v>
      </c>
      <c r="F482">
        <v>234</v>
      </c>
    </row>
    <row r="483" spans="1:6" x14ac:dyDescent="0.3">
      <c r="A483" t="s">
        <v>487</v>
      </c>
      <c r="B483">
        <v>29</v>
      </c>
      <c r="C483">
        <v>51</v>
      </c>
      <c r="D483">
        <v>11</v>
      </c>
      <c r="E483" s="1">
        <v>8829</v>
      </c>
      <c r="F483">
        <v>476</v>
      </c>
    </row>
    <row r="484" spans="1:6" x14ac:dyDescent="0.3">
      <c r="A484" t="s">
        <v>488</v>
      </c>
      <c r="B484">
        <v>91</v>
      </c>
      <c r="C484">
        <v>75</v>
      </c>
      <c r="D484">
        <v>97</v>
      </c>
      <c r="E484" s="1">
        <v>9144</v>
      </c>
      <c r="F484">
        <v>349</v>
      </c>
    </row>
    <row r="485" spans="1:6" x14ac:dyDescent="0.3">
      <c r="A485" t="s">
        <v>489</v>
      </c>
      <c r="B485">
        <v>62</v>
      </c>
      <c r="C485">
        <v>97</v>
      </c>
      <c r="D485">
        <v>52</v>
      </c>
      <c r="E485" s="1">
        <v>9311</v>
      </c>
      <c r="F485">
        <v>286</v>
      </c>
    </row>
    <row r="486" spans="1:6" x14ac:dyDescent="0.3">
      <c r="A486" t="s">
        <v>490</v>
      </c>
      <c r="B486">
        <v>59</v>
      </c>
      <c r="C486">
        <v>64</v>
      </c>
      <c r="D486">
        <v>117</v>
      </c>
      <c r="E486" s="1">
        <v>9670</v>
      </c>
      <c r="F486">
        <v>367</v>
      </c>
    </row>
    <row r="487" spans="1:6" x14ac:dyDescent="0.3">
      <c r="A487" t="s">
        <v>491</v>
      </c>
      <c r="B487">
        <v>84</v>
      </c>
      <c r="C487">
        <v>118</v>
      </c>
      <c r="D487">
        <v>136</v>
      </c>
      <c r="E487" s="1">
        <v>9670</v>
      </c>
      <c r="F487">
        <v>367</v>
      </c>
    </row>
    <row r="488" spans="1:6" x14ac:dyDescent="0.3">
      <c r="A488" t="s">
        <v>492</v>
      </c>
      <c r="B488">
        <v>86</v>
      </c>
      <c r="C488">
        <v>152</v>
      </c>
      <c r="D488">
        <v>168</v>
      </c>
      <c r="E488" s="1">
        <v>10558</v>
      </c>
      <c r="F488">
        <v>362</v>
      </c>
    </row>
    <row r="489" spans="1:6" x14ac:dyDescent="0.3">
      <c r="A489" t="s">
        <v>493</v>
      </c>
      <c r="B489">
        <v>106</v>
      </c>
      <c r="C489">
        <v>196</v>
      </c>
      <c r="D489">
        <v>131</v>
      </c>
      <c r="E489" s="1">
        <v>10718</v>
      </c>
      <c r="F489">
        <v>263</v>
      </c>
    </row>
    <row r="490" spans="1:6" x14ac:dyDescent="0.3">
      <c r="A490" t="s">
        <v>494</v>
      </c>
      <c r="B490">
        <v>113</v>
      </c>
      <c r="C490">
        <v>162</v>
      </c>
      <c r="D490">
        <v>107</v>
      </c>
      <c r="E490" s="1">
        <v>10770</v>
      </c>
      <c r="F490">
        <v>316</v>
      </c>
    </row>
    <row r="491" spans="1:6" x14ac:dyDescent="0.3">
      <c r="A491" t="s">
        <v>495</v>
      </c>
      <c r="B491">
        <v>92</v>
      </c>
      <c r="C491">
        <v>124</v>
      </c>
      <c r="D491">
        <v>93</v>
      </c>
      <c r="E491" s="1">
        <v>10870</v>
      </c>
      <c r="F491">
        <v>290</v>
      </c>
    </row>
    <row r="492" spans="1:6" x14ac:dyDescent="0.3">
      <c r="A492" t="s">
        <v>496</v>
      </c>
      <c r="B492">
        <v>68</v>
      </c>
      <c r="C492">
        <v>107</v>
      </c>
      <c r="D492">
        <v>102</v>
      </c>
      <c r="E492" s="1">
        <v>11230</v>
      </c>
      <c r="F492">
        <v>357</v>
      </c>
    </row>
    <row r="493" spans="1:6" x14ac:dyDescent="0.3">
      <c r="A493" t="s">
        <v>497</v>
      </c>
      <c r="B493">
        <v>74</v>
      </c>
      <c r="C493">
        <v>103</v>
      </c>
      <c r="D493">
        <v>80</v>
      </c>
      <c r="E493" s="1">
        <v>11206</v>
      </c>
      <c r="F493">
        <v>335</v>
      </c>
    </row>
    <row r="494" spans="1:6" x14ac:dyDescent="0.3">
      <c r="A494" t="s">
        <v>498</v>
      </c>
      <c r="B494">
        <v>56</v>
      </c>
      <c r="C494">
        <v>82</v>
      </c>
      <c r="D494">
        <v>68</v>
      </c>
      <c r="E494" s="1">
        <v>11217</v>
      </c>
      <c r="F494">
        <v>288</v>
      </c>
    </row>
    <row r="495" spans="1:6" x14ac:dyDescent="0.3">
      <c r="A495" t="s">
        <v>499</v>
      </c>
      <c r="B495">
        <v>90</v>
      </c>
      <c r="C495">
        <v>196</v>
      </c>
      <c r="D495">
        <v>205</v>
      </c>
      <c r="E495" s="1">
        <v>11144</v>
      </c>
      <c r="F495">
        <v>347</v>
      </c>
    </row>
    <row r="496" spans="1:6" x14ac:dyDescent="0.3">
      <c r="A496" t="s">
        <v>500</v>
      </c>
      <c r="B496">
        <v>128</v>
      </c>
      <c r="C496">
        <v>228</v>
      </c>
      <c r="D496">
        <v>177</v>
      </c>
      <c r="E496" s="1">
        <v>11375</v>
      </c>
      <c r="F496">
        <v>497</v>
      </c>
    </row>
    <row r="497" spans="1:6" x14ac:dyDescent="0.3">
      <c r="A497" t="s">
        <v>501</v>
      </c>
      <c r="B497">
        <v>136</v>
      </c>
      <c r="C497">
        <v>246</v>
      </c>
      <c r="D497">
        <v>123</v>
      </c>
      <c r="E497" s="1">
        <v>11516</v>
      </c>
      <c r="F497">
        <v>390</v>
      </c>
    </row>
    <row r="498" spans="1:6" x14ac:dyDescent="0.3">
      <c r="A498" t="s">
        <v>502</v>
      </c>
      <c r="B498">
        <v>105</v>
      </c>
      <c r="C498">
        <v>185</v>
      </c>
      <c r="D498">
        <v>158</v>
      </c>
      <c r="E498" s="1">
        <v>11291</v>
      </c>
      <c r="F498">
        <v>272</v>
      </c>
    </row>
    <row r="499" spans="1:6" x14ac:dyDescent="0.3">
      <c r="A499" t="s">
        <v>503</v>
      </c>
      <c r="B499">
        <v>116</v>
      </c>
      <c r="C499">
        <v>188</v>
      </c>
      <c r="D499">
        <v>164</v>
      </c>
      <c r="E499" s="1">
        <v>11149</v>
      </c>
      <c r="F499">
        <v>364</v>
      </c>
    </row>
    <row r="500" spans="1:6" x14ac:dyDescent="0.3">
      <c r="A500" t="s">
        <v>504</v>
      </c>
      <c r="B500">
        <v>80</v>
      </c>
      <c r="C500">
        <v>176</v>
      </c>
      <c r="D500">
        <v>125</v>
      </c>
      <c r="E500" s="1">
        <v>11092</v>
      </c>
      <c r="F500">
        <v>456</v>
      </c>
    </row>
    <row r="501" spans="1:6" x14ac:dyDescent="0.3">
      <c r="A501" t="s">
        <v>505</v>
      </c>
      <c r="B501">
        <v>150</v>
      </c>
      <c r="C501">
        <v>157</v>
      </c>
      <c r="D501">
        <v>201</v>
      </c>
      <c r="E501" s="1">
        <v>11242</v>
      </c>
      <c r="F501">
        <v>396</v>
      </c>
    </row>
    <row r="502" spans="1:6" x14ac:dyDescent="0.3">
      <c r="A502" t="s">
        <v>506</v>
      </c>
      <c r="B502">
        <v>116</v>
      </c>
      <c r="C502">
        <v>181</v>
      </c>
      <c r="D502">
        <v>182</v>
      </c>
      <c r="E502" s="1">
        <v>11192</v>
      </c>
      <c r="F502">
        <v>335</v>
      </c>
    </row>
    <row r="503" spans="1:6" x14ac:dyDescent="0.3">
      <c r="A503" t="s">
        <v>507</v>
      </c>
      <c r="B503">
        <v>141</v>
      </c>
      <c r="C503">
        <v>173</v>
      </c>
      <c r="D503">
        <v>129</v>
      </c>
      <c r="E503" s="1">
        <v>11077</v>
      </c>
      <c r="F503">
        <v>259</v>
      </c>
    </row>
    <row r="504" spans="1:6" x14ac:dyDescent="0.3">
      <c r="A504" t="s">
        <v>508</v>
      </c>
      <c r="B504">
        <v>96</v>
      </c>
      <c r="C504">
        <v>160</v>
      </c>
      <c r="D504">
        <v>233</v>
      </c>
      <c r="E504" s="1">
        <v>10998</v>
      </c>
      <c r="F504">
        <v>304</v>
      </c>
    </row>
    <row r="505" spans="1:6" x14ac:dyDescent="0.3">
      <c r="A505" t="s">
        <v>509</v>
      </c>
      <c r="B505">
        <v>158</v>
      </c>
      <c r="C505">
        <v>226</v>
      </c>
      <c r="D505">
        <v>191</v>
      </c>
      <c r="E505" s="1">
        <v>10871</v>
      </c>
      <c r="F505">
        <v>411</v>
      </c>
    </row>
    <row r="506" spans="1:6" x14ac:dyDescent="0.3">
      <c r="A506" t="s">
        <v>510</v>
      </c>
      <c r="B506">
        <v>141</v>
      </c>
      <c r="C506">
        <v>232</v>
      </c>
      <c r="D506">
        <v>188</v>
      </c>
      <c r="E506" s="1">
        <v>10897</v>
      </c>
      <c r="F506">
        <v>466</v>
      </c>
    </row>
    <row r="507" spans="1:6" x14ac:dyDescent="0.3">
      <c r="A507" t="s">
        <v>511</v>
      </c>
      <c r="B507">
        <v>123</v>
      </c>
      <c r="C507">
        <v>233</v>
      </c>
      <c r="D507">
        <v>159</v>
      </c>
      <c r="E507" s="1">
        <v>10832</v>
      </c>
      <c r="F507">
        <v>376</v>
      </c>
    </row>
    <row r="508" spans="1:6" x14ac:dyDescent="0.3">
      <c r="A508" t="s">
        <v>512</v>
      </c>
      <c r="B508">
        <v>123</v>
      </c>
      <c r="C508">
        <v>230</v>
      </c>
      <c r="D508">
        <v>167</v>
      </c>
      <c r="E508" s="1">
        <v>10761</v>
      </c>
      <c r="F508">
        <v>261</v>
      </c>
    </row>
    <row r="509" spans="1:6" x14ac:dyDescent="0.3">
      <c r="A509" t="s">
        <v>513</v>
      </c>
      <c r="B509">
        <v>174</v>
      </c>
      <c r="C509">
        <v>208</v>
      </c>
      <c r="D509">
        <v>256</v>
      </c>
      <c r="E509" s="1">
        <v>10635</v>
      </c>
      <c r="F509">
        <v>273</v>
      </c>
    </row>
    <row r="510" spans="1:6" x14ac:dyDescent="0.3">
      <c r="A510" t="s">
        <v>514</v>
      </c>
      <c r="B510">
        <v>132</v>
      </c>
      <c r="C510">
        <v>235</v>
      </c>
      <c r="D510">
        <v>197</v>
      </c>
      <c r="E510" s="1">
        <v>10579</v>
      </c>
      <c r="F510">
        <v>417</v>
      </c>
    </row>
    <row r="511" spans="1:6" x14ac:dyDescent="0.3">
      <c r="A511" t="s">
        <v>515</v>
      </c>
      <c r="B511">
        <v>92</v>
      </c>
      <c r="C511">
        <v>124</v>
      </c>
      <c r="D511">
        <v>93</v>
      </c>
      <c r="E511" s="1">
        <v>10536</v>
      </c>
      <c r="F511">
        <v>320</v>
      </c>
    </row>
    <row r="512" spans="1:6" x14ac:dyDescent="0.3">
      <c r="A512" t="s">
        <v>516</v>
      </c>
      <c r="B512">
        <v>68</v>
      </c>
      <c r="C512">
        <v>107</v>
      </c>
      <c r="D512">
        <v>102</v>
      </c>
      <c r="E512" s="1">
        <v>10398</v>
      </c>
      <c r="F512">
        <v>284</v>
      </c>
    </row>
    <row r="513" spans="1:6" x14ac:dyDescent="0.3">
      <c r="A513" t="s">
        <v>517</v>
      </c>
      <c r="B513">
        <v>74</v>
      </c>
      <c r="C513">
        <v>103</v>
      </c>
      <c r="D513">
        <v>80</v>
      </c>
      <c r="E513" s="1">
        <v>10223</v>
      </c>
      <c r="F513">
        <v>223</v>
      </c>
    </row>
    <row r="514" spans="1:6" x14ac:dyDescent="0.3">
      <c r="A514" t="s">
        <v>518</v>
      </c>
      <c r="B514">
        <v>56</v>
      </c>
      <c r="C514">
        <v>82</v>
      </c>
      <c r="D514">
        <v>68</v>
      </c>
      <c r="E514" s="1">
        <v>10123</v>
      </c>
      <c r="F514">
        <v>214</v>
      </c>
    </row>
    <row r="515" spans="1:6" x14ac:dyDescent="0.3">
      <c r="A515" t="s">
        <v>519</v>
      </c>
      <c r="B515">
        <v>90</v>
      </c>
      <c r="C515">
        <v>196</v>
      </c>
      <c r="D515">
        <v>205</v>
      </c>
      <c r="E515" s="1">
        <v>9845</v>
      </c>
      <c r="F515">
        <v>312</v>
      </c>
    </row>
    <row r="516" spans="1:6" x14ac:dyDescent="0.3">
      <c r="A516" t="s">
        <v>520</v>
      </c>
      <c r="B516">
        <v>128</v>
      </c>
      <c r="C516">
        <v>228</v>
      </c>
      <c r="D516">
        <v>177</v>
      </c>
      <c r="E516" s="1">
        <v>9838</v>
      </c>
      <c r="F516">
        <v>283</v>
      </c>
    </row>
    <row r="517" spans="1:6" x14ac:dyDescent="0.3">
      <c r="A517" t="s">
        <v>521</v>
      </c>
      <c r="B517">
        <v>136</v>
      </c>
      <c r="C517">
        <v>246</v>
      </c>
      <c r="D517">
        <v>123</v>
      </c>
      <c r="E517" s="1">
        <v>9804</v>
      </c>
      <c r="F517">
        <v>250</v>
      </c>
    </row>
    <row r="518" spans="1:6" x14ac:dyDescent="0.3">
      <c r="A518" t="s">
        <v>522</v>
      </c>
      <c r="B518">
        <v>105</v>
      </c>
      <c r="C518">
        <v>185</v>
      </c>
      <c r="D518">
        <v>158</v>
      </c>
      <c r="E518" s="1">
        <v>9638</v>
      </c>
      <c r="F518">
        <v>298</v>
      </c>
    </row>
    <row r="519" spans="1:6" x14ac:dyDescent="0.3">
      <c r="A519" t="s">
        <v>523</v>
      </c>
      <c r="B519">
        <v>116</v>
      </c>
      <c r="C519">
        <v>188</v>
      </c>
      <c r="D519">
        <v>164</v>
      </c>
      <c r="E519" s="1">
        <v>9573</v>
      </c>
      <c r="F519">
        <v>435</v>
      </c>
    </row>
    <row r="520" spans="1:6" x14ac:dyDescent="0.3">
      <c r="A520" t="s">
        <v>524</v>
      </c>
      <c r="B520">
        <v>80</v>
      </c>
      <c r="C520">
        <v>176</v>
      </c>
      <c r="D520">
        <v>125</v>
      </c>
      <c r="E520" s="1">
        <v>9762</v>
      </c>
      <c r="F520">
        <v>374</v>
      </c>
    </row>
    <row r="521" spans="1:6" x14ac:dyDescent="0.3">
      <c r="A521" t="s">
        <v>525</v>
      </c>
      <c r="B521">
        <v>150</v>
      </c>
      <c r="C521">
        <v>157</v>
      </c>
      <c r="D521">
        <v>201</v>
      </c>
      <c r="E521" s="1">
        <v>9762</v>
      </c>
      <c r="F521">
        <v>316</v>
      </c>
    </row>
    <row r="522" spans="1:6" x14ac:dyDescent="0.3">
      <c r="A522" t="s">
        <v>526</v>
      </c>
      <c r="B522">
        <v>116</v>
      </c>
      <c r="C522">
        <v>181</v>
      </c>
      <c r="D522">
        <v>182</v>
      </c>
      <c r="E522" s="1">
        <v>9665</v>
      </c>
      <c r="F522">
        <v>247</v>
      </c>
    </row>
    <row r="523" spans="1:6" x14ac:dyDescent="0.3">
      <c r="A523" t="s">
        <v>527</v>
      </c>
      <c r="B523">
        <v>141</v>
      </c>
      <c r="C523">
        <v>173</v>
      </c>
      <c r="D523">
        <v>129</v>
      </c>
      <c r="E523" s="1">
        <v>9510</v>
      </c>
      <c r="F523">
        <v>287</v>
      </c>
    </row>
    <row r="524" spans="1:6" x14ac:dyDescent="0.3">
      <c r="A524" t="s">
        <v>528</v>
      </c>
      <c r="B524">
        <v>96</v>
      </c>
      <c r="C524">
        <v>160</v>
      </c>
      <c r="D524">
        <v>233</v>
      </c>
      <c r="E524" s="1">
        <v>9477</v>
      </c>
      <c r="F524">
        <v>313</v>
      </c>
    </row>
    <row r="525" spans="1:6" x14ac:dyDescent="0.3">
      <c r="A525" t="s">
        <v>529</v>
      </c>
      <c r="B525">
        <v>158</v>
      </c>
      <c r="C525">
        <v>226</v>
      </c>
      <c r="D525">
        <v>191</v>
      </c>
      <c r="E525" s="1">
        <v>9634</v>
      </c>
      <c r="F525">
        <v>310</v>
      </c>
    </row>
    <row r="526" spans="1:6" x14ac:dyDescent="0.3">
      <c r="A526" t="s">
        <v>530</v>
      </c>
      <c r="B526">
        <v>141</v>
      </c>
      <c r="C526">
        <v>232</v>
      </c>
      <c r="D526">
        <v>188</v>
      </c>
      <c r="E526" s="1">
        <v>9483</v>
      </c>
      <c r="F526">
        <v>231</v>
      </c>
    </row>
    <row r="527" spans="1:6" x14ac:dyDescent="0.3">
      <c r="A527" t="s">
        <v>531</v>
      </c>
      <c r="B527">
        <v>123</v>
      </c>
      <c r="C527">
        <v>233</v>
      </c>
      <c r="D527">
        <v>159</v>
      </c>
      <c r="E527" s="1">
        <v>9286</v>
      </c>
      <c r="F527">
        <v>316</v>
      </c>
    </row>
    <row r="528" spans="1:6" x14ac:dyDescent="0.3">
      <c r="A528" t="s">
        <v>532</v>
      </c>
      <c r="B528">
        <v>123</v>
      </c>
      <c r="C528">
        <v>230</v>
      </c>
      <c r="D528">
        <v>167</v>
      </c>
      <c r="E528" s="1">
        <v>9273</v>
      </c>
      <c r="F528">
        <v>370</v>
      </c>
    </row>
    <row r="529" spans="1:6" x14ac:dyDescent="0.3">
      <c r="A529" t="s">
        <v>533</v>
      </c>
      <c r="B529">
        <v>174</v>
      </c>
      <c r="C529">
        <v>208</v>
      </c>
      <c r="D529">
        <v>256</v>
      </c>
      <c r="E529" s="1">
        <v>9442</v>
      </c>
      <c r="F529">
        <v>330</v>
      </c>
    </row>
    <row r="530" spans="1:6" x14ac:dyDescent="0.3">
      <c r="A530" t="s">
        <v>534</v>
      </c>
      <c r="B530">
        <v>132</v>
      </c>
      <c r="C530">
        <v>235</v>
      </c>
      <c r="D530">
        <v>197</v>
      </c>
      <c r="E530" s="1">
        <v>9250</v>
      </c>
      <c r="F530">
        <v>279</v>
      </c>
    </row>
    <row r="531" spans="1:6" x14ac:dyDescent="0.3">
      <c r="A531" t="s">
        <v>535</v>
      </c>
      <c r="B531">
        <v>33</v>
      </c>
      <c r="C531">
        <v>53</v>
      </c>
      <c r="D531">
        <v>34</v>
      </c>
      <c r="E531" s="1">
        <v>9072</v>
      </c>
      <c r="F531">
        <v>295</v>
      </c>
    </row>
    <row r="532" spans="1:6" x14ac:dyDescent="0.3">
      <c r="A532" t="s">
        <v>536</v>
      </c>
      <c r="B532">
        <v>29</v>
      </c>
      <c r="C532">
        <v>51</v>
      </c>
      <c r="D532">
        <v>11</v>
      </c>
      <c r="E532" s="1">
        <v>9026</v>
      </c>
      <c r="F532">
        <v>278</v>
      </c>
    </row>
    <row r="533" spans="1:6" x14ac:dyDescent="0.3">
      <c r="A533" t="s">
        <v>537</v>
      </c>
      <c r="B533">
        <v>91</v>
      </c>
      <c r="C533">
        <v>75</v>
      </c>
      <c r="D533">
        <v>97</v>
      </c>
      <c r="E533" s="1">
        <v>8925</v>
      </c>
      <c r="F533">
        <v>418</v>
      </c>
    </row>
    <row r="534" spans="1:6" x14ac:dyDescent="0.3">
      <c r="A534" t="s">
        <v>538</v>
      </c>
      <c r="B534">
        <v>62</v>
      </c>
      <c r="C534">
        <v>97</v>
      </c>
      <c r="D534">
        <v>52</v>
      </c>
      <c r="E534" s="1">
        <v>9235</v>
      </c>
      <c r="F534">
        <v>390</v>
      </c>
    </row>
    <row r="535" spans="1:6" x14ac:dyDescent="0.3">
      <c r="A535" t="s">
        <v>539</v>
      </c>
      <c r="B535">
        <v>59</v>
      </c>
      <c r="C535">
        <v>64</v>
      </c>
      <c r="D535">
        <v>117</v>
      </c>
      <c r="E535" s="1">
        <v>9351</v>
      </c>
      <c r="F535">
        <v>293</v>
      </c>
    </row>
    <row r="536" spans="1:6" x14ac:dyDescent="0.3">
      <c r="A536" t="s">
        <v>540</v>
      </c>
      <c r="B536">
        <v>84</v>
      </c>
      <c r="C536">
        <v>118</v>
      </c>
      <c r="D536">
        <v>136</v>
      </c>
      <c r="E536" s="1">
        <v>9396</v>
      </c>
      <c r="F536">
        <v>300</v>
      </c>
    </row>
    <row r="537" spans="1:6" x14ac:dyDescent="0.3">
      <c r="A537" t="s">
        <v>541</v>
      </c>
      <c r="B537">
        <v>86</v>
      </c>
      <c r="C537">
        <v>152</v>
      </c>
      <c r="D537">
        <v>168</v>
      </c>
      <c r="E537" s="1">
        <v>9436</v>
      </c>
      <c r="F537">
        <v>327</v>
      </c>
    </row>
    <row r="538" spans="1:6" x14ac:dyDescent="0.3">
      <c r="A538" t="s">
        <v>542</v>
      </c>
      <c r="B538">
        <v>106</v>
      </c>
      <c r="C538">
        <v>196</v>
      </c>
      <c r="D538">
        <v>131</v>
      </c>
      <c r="E538" s="1">
        <v>9506</v>
      </c>
      <c r="F538">
        <v>454</v>
      </c>
    </row>
    <row r="539" spans="1:6" x14ac:dyDescent="0.3">
      <c r="A539" t="s">
        <v>543</v>
      </c>
      <c r="B539">
        <v>113</v>
      </c>
      <c r="C539">
        <v>162</v>
      </c>
      <c r="D539">
        <v>107</v>
      </c>
      <c r="E539" s="1">
        <v>10319</v>
      </c>
      <c r="F539">
        <v>406</v>
      </c>
    </row>
    <row r="540" spans="1:6" x14ac:dyDescent="0.3">
      <c r="A540" t="s">
        <v>544</v>
      </c>
      <c r="B540">
        <v>92</v>
      </c>
      <c r="C540">
        <v>124</v>
      </c>
      <c r="D540">
        <v>93</v>
      </c>
      <c r="E540" s="1">
        <v>10511</v>
      </c>
      <c r="F540">
        <v>393</v>
      </c>
    </row>
    <row r="541" spans="1:6" x14ac:dyDescent="0.3">
      <c r="A541" t="s">
        <v>545</v>
      </c>
      <c r="B541">
        <v>68</v>
      </c>
      <c r="C541">
        <v>107</v>
      </c>
      <c r="D541">
        <v>102</v>
      </c>
      <c r="E541" s="1">
        <v>10630</v>
      </c>
      <c r="F541">
        <v>315</v>
      </c>
    </row>
    <row r="542" spans="1:6" x14ac:dyDescent="0.3">
      <c r="A542" t="s">
        <v>546</v>
      </c>
      <c r="B542">
        <v>74</v>
      </c>
      <c r="C542">
        <v>103</v>
      </c>
      <c r="D542">
        <v>80</v>
      </c>
      <c r="E542" s="1">
        <v>10629</v>
      </c>
      <c r="F542">
        <v>331</v>
      </c>
    </row>
    <row r="543" spans="1:6" x14ac:dyDescent="0.3">
      <c r="A543" t="s">
        <v>547</v>
      </c>
      <c r="B543">
        <v>56</v>
      </c>
      <c r="C543">
        <v>82</v>
      </c>
      <c r="D543">
        <v>68</v>
      </c>
      <c r="E543" s="1">
        <v>10571</v>
      </c>
      <c r="F543">
        <v>434</v>
      </c>
    </row>
    <row r="544" spans="1:6" x14ac:dyDescent="0.3">
      <c r="A544" t="s">
        <v>548</v>
      </c>
      <c r="B544">
        <v>38</v>
      </c>
      <c r="C544">
        <v>80</v>
      </c>
      <c r="D544">
        <v>82</v>
      </c>
      <c r="E544" s="1">
        <v>10992</v>
      </c>
      <c r="F544">
        <v>398</v>
      </c>
    </row>
    <row r="545" spans="1:6" x14ac:dyDescent="0.3">
      <c r="A545" t="s">
        <v>549</v>
      </c>
      <c r="B545">
        <v>65</v>
      </c>
      <c r="C545">
        <v>83</v>
      </c>
      <c r="D545">
        <v>65</v>
      </c>
      <c r="E545" s="1">
        <v>10960</v>
      </c>
      <c r="F545">
        <v>266</v>
      </c>
    </row>
    <row r="546" spans="1:6" x14ac:dyDescent="0.3">
      <c r="A546" t="s">
        <v>550</v>
      </c>
      <c r="B546">
        <v>41</v>
      </c>
      <c r="C546">
        <v>60</v>
      </c>
      <c r="D546">
        <v>71</v>
      </c>
      <c r="E546" s="1">
        <v>10910</v>
      </c>
      <c r="F546">
        <v>257</v>
      </c>
    </row>
    <row r="547" spans="1:6" x14ac:dyDescent="0.3">
      <c r="A547" t="s">
        <v>551</v>
      </c>
      <c r="B547">
        <v>43</v>
      </c>
      <c r="C547">
        <v>73</v>
      </c>
      <c r="D547">
        <v>64</v>
      </c>
      <c r="E547" s="1">
        <v>10815</v>
      </c>
      <c r="F547">
        <v>282</v>
      </c>
    </row>
    <row r="548" spans="1:6" x14ac:dyDescent="0.3">
      <c r="A548" t="s">
        <v>552</v>
      </c>
      <c r="B548">
        <v>35</v>
      </c>
      <c r="C548">
        <v>70</v>
      </c>
      <c r="D548">
        <v>53</v>
      </c>
      <c r="E548" s="1">
        <v>11130</v>
      </c>
      <c r="F548">
        <v>427</v>
      </c>
    </row>
    <row r="549" spans="1:6" x14ac:dyDescent="0.3">
      <c r="A549" t="s">
        <v>553</v>
      </c>
      <c r="B549">
        <v>25</v>
      </c>
      <c r="C549">
        <v>66</v>
      </c>
      <c r="D549">
        <v>94</v>
      </c>
      <c r="E549" s="1">
        <v>10963</v>
      </c>
      <c r="F549">
        <v>330</v>
      </c>
    </row>
    <row r="550" spans="1:6" x14ac:dyDescent="0.3">
      <c r="A550" t="s">
        <v>554</v>
      </c>
      <c r="B550">
        <v>99</v>
      </c>
      <c r="C550">
        <v>156</v>
      </c>
      <c r="D550">
        <v>139</v>
      </c>
      <c r="E550" s="1">
        <v>10818</v>
      </c>
      <c r="F550">
        <v>287</v>
      </c>
    </row>
    <row r="551" spans="1:6" x14ac:dyDescent="0.3">
      <c r="A551" t="s">
        <v>555</v>
      </c>
      <c r="B551">
        <v>107</v>
      </c>
      <c r="C551">
        <v>170</v>
      </c>
      <c r="D551">
        <v>133</v>
      </c>
      <c r="E551" s="1">
        <v>10724</v>
      </c>
      <c r="F551">
        <v>284</v>
      </c>
    </row>
    <row r="552" spans="1:6" x14ac:dyDescent="0.3">
      <c r="A552" t="s">
        <v>556</v>
      </c>
      <c r="B552">
        <v>80</v>
      </c>
      <c r="C552">
        <v>122</v>
      </c>
      <c r="D552">
        <v>152</v>
      </c>
      <c r="E552" s="1">
        <v>10598</v>
      </c>
      <c r="F552">
        <v>493</v>
      </c>
    </row>
    <row r="553" spans="1:6" x14ac:dyDescent="0.3">
      <c r="A553" t="s">
        <v>557</v>
      </c>
      <c r="B553">
        <v>57</v>
      </c>
      <c r="C553">
        <v>162</v>
      </c>
      <c r="D553">
        <v>193</v>
      </c>
      <c r="E553" s="1">
        <v>10984</v>
      </c>
      <c r="F553">
        <v>447</v>
      </c>
    </row>
    <row r="554" spans="1:6" x14ac:dyDescent="0.3">
      <c r="A554" t="s">
        <v>558</v>
      </c>
      <c r="B554">
        <v>161</v>
      </c>
      <c r="C554">
        <v>304</v>
      </c>
      <c r="D554">
        <v>211</v>
      </c>
      <c r="E554" s="1">
        <v>11017</v>
      </c>
      <c r="F554">
        <v>331</v>
      </c>
    </row>
    <row r="555" spans="1:6" x14ac:dyDescent="0.3">
      <c r="A555" t="s">
        <v>559</v>
      </c>
      <c r="B555">
        <v>205</v>
      </c>
      <c r="C555">
        <v>294</v>
      </c>
      <c r="D555">
        <v>177</v>
      </c>
      <c r="E555" s="1">
        <v>10978</v>
      </c>
      <c r="F555">
        <v>332</v>
      </c>
    </row>
    <row r="556" spans="1:6" x14ac:dyDescent="0.3">
      <c r="A556" t="s">
        <v>560</v>
      </c>
      <c r="B556">
        <v>100</v>
      </c>
      <c r="C556">
        <v>255</v>
      </c>
      <c r="D556">
        <v>236</v>
      </c>
      <c r="E556" s="1">
        <v>10842</v>
      </c>
      <c r="F556">
        <v>284</v>
      </c>
    </row>
    <row r="557" spans="1:6" x14ac:dyDescent="0.3">
      <c r="A557" t="s">
        <v>561</v>
      </c>
      <c r="B557">
        <v>269</v>
      </c>
      <c r="C557">
        <v>412</v>
      </c>
      <c r="D557">
        <v>204</v>
      </c>
      <c r="E557" s="1">
        <v>10744</v>
      </c>
      <c r="F557">
        <v>403</v>
      </c>
    </row>
    <row r="558" spans="1:6" x14ac:dyDescent="0.3">
      <c r="A558" t="s">
        <v>562</v>
      </c>
      <c r="B558">
        <v>168</v>
      </c>
      <c r="C558">
        <v>285</v>
      </c>
      <c r="D558">
        <v>210</v>
      </c>
      <c r="E558" s="1">
        <v>11067</v>
      </c>
      <c r="F558">
        <v>428</v>
      </c>
    </row>
    <row r="559" spans="1:6" x14ac:dyDescent="0.3">
      <c r="A559" t="s">
        <v>563</v>
      </c>
      <c r="B559">
        <v>187</v>
      </c>
      <c r="C559">
        <v>310</v>
      </c>
      <c r="D559">
        <v>247</v>
      </c>
      <c r="E559" s="1">
        <v>11064</v>
      </c>
      <c r="F559">
        <v>364</v>
      </c>
    </row>
    <row r="560" spans="1:6" x14ac:dyDescent="0.3">
      <c r="A560" t="s">
        <v>564</v>
      </c>
      <c r="B560">
        <v>133</v>
      </c>
      <c r="C560">
        <v>287</v>
      </c>
      <c r="D560">
        <v>189</v>
      </c>
      <c r="E560" s="1">
        <v>11095</v>
      </c>
      <c r="F560">
        <v>260</v>
      </c>
    </row>
    <row r="561" spans="1:6" x14ac:dyDescent="0.3">
      <c r="A561" t="s">
        <v>565</v>
      </c>
      <c r="B561">
        <v>180</v>
      </c>
      <c r="C561">
        <v>337</v>
      </c>
      <c r="D561">
        <v>219</v>
      </c>
      <c r="E561" s="1">
        <v>10892</v>
      </c>
      <c r="F561">
        <v>313</v>
      </c>
    </row>
    <row r="562" spans="1:6" x14ac:dyDescent="0.3">
      <c r="A562" t="s">
        <v>566</v>
      </c>
      <c r="B562">
        <v>153</v>
      </c>
      <c r="C562">
        <v>253</v>
      </c>
      <c r="D562">
        <v>286</v>
      </c>
      <c r="E562" s="1">
        <v>10799</v>
      </c>
      <c r="F562">
        <v>427</v>
      </c>
    </row>
    <row r="563" spans="1:6" x14ac:dyDescent="0.3">
      <c r="A563" t="s">
        <v>567</v>
      </c>
      <c r="B563">
        <v>209</v>
      </c>
      <c r="C563">
        <v>353</v>
      </c>
      <c r="D563">
        <v>232</v>
      </c>
      <c r="E563" s="1">
        <v>10837</v>
      </c>
      <c r="F563">
        <v>414</v>
      </c>
    </row>
    <row r="564" spans="1:6" x14ac:dyDescent="0.3">
      <c r="A564" t="s">
        <v>568</v>
      </c>
      <c r="B564">
        <v>167</v>
      </c>
      <c r="C564">
        <v>326</v>
      </c>
      <c r="D564">
        <v>213</v>
      </c>
      <c r="E564" s="1">
        <v>10678</v>
      </c>
      <c r="F564">
        <v>343</v>
      </c>
    </row>
    <row r="565" spans="1:6" x14ac:dyDescent="0.3">
      <c r="A565" t="s">
        <v>569</v>
      </c>
      <c r="B565">
        <v>224</v>
      </c>
      <c r="C565">
        <v>315</v>
      </c>
      <c r="D565">
        <v>152</v>
      </c>
      <c r="E565" s="1">
        <v>10649</v>
      </c>
      <c r="F565">
        <v>316</v>
      </c>
    </row>
    <row r="566" spans="1:6" x14ac:dyDescent="0.3">
      <c r="A566" t="s">
        <v>570</v>
      </c>
      <c r="B566">
        <v>132</v>
      </c>
      <c r="C566">
        <v>243</v>
      </c>
      <c r="D566">
        <v>183</v>
      </c>
      <c r="E566" s="1">
        <v>10492</v>
      </c>
      <c r="F566">
        <v>277</v>
      </c>
    </row>
    <row r="567" spans="1:6" x14ac:dyDescent="0.3">
      <c r="A567" t="s">
        <v>571</v>
      </c>
      <c r="B567">
        <v>218</v>
      </c>
      <c r="C567">
        <v>283</v>
      </c>
      <c r="D567">
        <v>208</v>
      </c>
      <c r="E567" s="1">
        <v>10282</v>
      </c>
      <c r="F567">
        <v>382</v>
      </c>
    </row>
    <row r="568" spans="1:6" x14ac:dyDescent="0.3">
      <c r="A568" t="s">
        <v>572</v>
      </c>
      <c r="B568">
        <v>118</v>
      </c>
      <c r="C568">
        <v>245</v>
      </c>
      <c r="D568">
        <v>160</v>
      </c>
      <c r="E568" s="1">
        <v>10419</v>
      </c>
      <c r="F568">
        <v>398</v>
      </c>
    </row>
    <row r="569" spans="1:6" x14ac:dyDescent="0.3">
      <c r="A569" t="s">
        <v>573</v>
      </c>
      <c r="B569">
        <v>81</v>
      </c>
      <c r="C569">
        <v>230</v>
      </c>
      <c r="D569">
        <v>242</v>
      </c>
      <c r="E569" s="1">
        <v>10356</v>
      </c>
      <c r="F569">
        <v>291</v>
      </c>
    </row>
    <row r="570" spans="1:6" x14ac:dyDescent="0.3">
      <c r="A570" t="s">
        <v>574</v>
      </c>
      <c r="B570">
        <v>236</v>
      </c>
      <c r="C570">
        <v>330</v>
      </c>
      <c r="D570">
        <v>222</v>
      </c>
      <c r="E570" s="1">
        <v>10142</v>
      </c>
      <c r="F570">
        <v>243</v>
      </c>
    </row>
    <row r="571" spans="1:6" x14ac:dyDescent="0.3">
      <c r="A571" t="s">
        <v>575</v>
      </c>
      <c r="B571">
        <v>196</v>
      </c>
      <c r="C571">
        <v>306</v>
      </c>
      <c r="D571">
        <v>187</v>
      </c>
      <c r="E571" s="1">
        <v>9988</v>
      </c>
      <c r="F571">
        <v>293</v>
      </c>
    </row>
    <row r="572" spans="1:6" x14ac:dyDescent="0.3">
      <c r="A572" t="s">
        <v>576</v>
      </c>
      <c r="B572">
        <v>113</v>
      </c>
      <c r="C572">
        <v>280</v>
      </c>
      <c r="D572">
        <v>237</v>
      </c>
      <c r="E572" s="1">
        <v>10140</v>
      </c>
      <c r="F572">
        <v>505</v>
      </c>
    </row>
    <row r="573" spans="1:6" x14ac:dyDescent="0.3">
      <c r="A573" t="s">
        <v>577</v>
      </c>
      <c r="B573">
        <v>239</v>
      </c>
      <c r="C573">
        <v>367</v>
      </c>
      <c r="D573">
        <v>224</v>
      </c>
      <c r="E573" s="1">
        <v>10280</v>
      </c>
      <c r="F573">
        <v>366</v>
      </c>
    </row>
    <row r="574" spans="1:6" x14ac:dyDescent="0.3">
      <c r="A574" t="s">
        <v>578</v>
      </c>
      <c r="B574">
        <v>152</v>
      </c>
      <c r="C574">
        <v>272</v>
      </c>
      <c r="D574">
        <v>214</v>
      </c>
      <c r="E574" s="1">
        <v>10180</v>
      </c>
      <c r="F574">
        <v>286</v>
      </c>
    </row>
    <row r="575" spans="1:6" x14ac:dyDescent="0.3">
      <c r="A575" t="s">
        <v>579</v>
      </c>
      <c r="B575">
        <v>170</v>
      </c>
      <c r="C575">
        <v>297</v>
      </c>
      <c r="D575">
        <v>196</v>
      </c>
      <c r="E575" s="1">
        <v>10012</v>
      </c>
      <c r="F575">
        <v>388</v>
      </c>
    </row>
    <row r="576" spans="1:6" x14ac:dyDescent="0.3">
      <c r="A576" t="s">
        <v>580</v>
      </c>
      <c r="B576">
        <v>191</v>
      </c>
      <c r="C576">
        <v>283</v>
      </c>
      <c r="D576">
        <v>192</v>
      </c>
      <c r="E576" s="1">
        <v>9873</v>
      </c>
      <c r="F576">
        <v>488</v>
      </c>
    </row>
    <row r="577" spans="1:6" x14ac:dyDescent="0.3">
      <c r="A577" t="s">
        <v>581</v>
      </c>
      <c r="B577">
        <v>109</v>
      </c>
      <c r="C577">
        <v>214</v>
      </c>
      <c r="D577">
        <v>173</v>
      </c>
      <c r="E577" s="1">
        <v>10026</v>
      </c>
      <c r="F577">
        <v>443</v>
      </c>
    </row>
    <row r="578" spans="1:6" x14ac:dyDescent="0.3">
      <c r="A578" t="s">
        <v>582</v>
      </c>
      <c r="B578">
        <v>155</v>
      </c>
      <c r="C578">
        <v>212</v>
      </c>
      <c r="D578">
        <v>181</v>
      </c>
      <c r="E578" s="1">
        <v>10071</v>
      </c>
      <c r="F578">
        <v>285</v>
      </c>
    </row>
    <row r="579" spans="1:6" x14ac:dyDescent="0.3">
      <c r="A579" t="s">
        <v>583</v>
      </c>
      <c r="B579">
        <v>119</v>
      </c>
      <c r="C579">
        <v>209</v>
      </c>
      <c r="D579">
        <v>152</v>
      </c>
      <c r="E579" s="1">
        <v>9921</v>
      </c>
      <c r="F579">
        <v>230</v>
      </c>
    </row>
    <row r="580" spans="1:6" x14ac:dyDescent="0.3">
      <c r="A580" t="s">
        <v>584</v>
      </c>
      <c r="B580">
        <v>143</v>
      </c>
      <c r="C580">
        <v>203</v>
      </c>
      <c r="D580">
        <v>163</v>
      </c>
      <c r="E580" s="1">
        <v>9668</v>
      </c>
      <c r="F580">
        <v>281</v>
      </c>
    </row>
    <row r="581" spans="1:6" x14ac:dyDescent="0.3">
      <c r="A581" t="s">
        <v>585</v>
      </c>
      <c r="B581">
        <v>105</v>
      </c>
      <c r="C581">
        <v>210</v>
      </c>
      <c r="D581">
        <v>149</v>
      </c>
      <c r="E581" s="1">
        <v>9483</v>
      </c>
      <c r="F581">
        <v>390</v>
      </c>
    </row>
    <row r="582" spans="1:6" x14ac:dyDescent="0.3">
      <c r="A582" t="s">
        <v>586</v>
      </c>
      <c r="B582">
        <v>119</v>
      </c>
      <c r="C582">
        <v>219</v>
      </c>
      <c r="D582">
        <v>210</v>
      </c>
      <c r="E582" s="1">
        <v>9694</v>
      </c>
      <c r="F582">
        <v>407</v>
      </c>
    </row>
    <row r="583" spans="1:6" x14ac:dyDescent="0.3">
      <c r="A583" t="s">
        <v>587</v>
      </c>
      <c r="B583">
        <v>148</v>
      </c>
      <c r="C583">
        <v>245</v>
      </c>
      <c r="D583">
        <v>175</v>
      </c>
      <c r="E583" s="1">
        <v>9634</v>
      </c>
      <c r="F583">
        <v>288</v>
      </c>
    </row>
    <row r="584" spans="1:6" x14ac:dyDescent="0.3">
      <c r="A584" t="s">
        <v>588</v>
      </c>
      <c r="B584">
        <v>142</v>
      </c>
      <c r="C584">
        <v>235</v>
      </c>
      <c r="D584">
        <v>139</v>
      </c>
      <c r="E584" s="1">
        <v>8914</v>
      </c>
      <c r="F584">
        <v>353</v>
      </c>
    </row>
    <row r="585" spans="1:6" x14ac:dyDescent="0.3">
      <c r="A585" t="s">
        <v>589</v>
      </c>
      <c r="B585">
        <v>118</v>
      </c>
      <c r="C585">
        <v>139</v>
      </c>
      <c r="D585">
        <v>168</v>
      </c>
      <c r="E585" s="1">
        <v>8888</v>
      </c>
      <c r="F585">
        <v>251</v>
      </c>
    </row>
    <row r="586" spans="1:6" x14ac:dyDescent="0.3">
      <c r="A586" t="s">
        <v>590</v>
      </c>
      <c r="B586">
        <v>125</v>
      </c>
      <c r="C586">
        <v>232</v>
      </c>
      <c r="D586">
        <v>192</v>
      </c>
      <c r="E586" s="1">
        <v>8725</v>
      </c>
      <c r="F586">
        <v>207</v>
      </c>
    </row>
    <row r="587" spans="1:6" x14ac:dyDescent="0.3">
      <c r="A587" t="s">
        <v>591</v>
      </c>
      <c r="B587">
        <v>156</v>
      </c>
      <c r="C587">
        <v>256</v>
      </c>
      <c r="D587">
        <v>176</v>
      </c>
      <c r="E587" s="1">
        <v>8493</v>
      </c>
      <c r="F587">
        <v>202</v>
      </c>
    </row>
    <row r="588" spans="1:6" x14ac:dyDescent="0.3">
      <c r="A588" t="s">
        <v>592</v>
      </c>
      <c r="B588">
        <v>109</v>
      </c>
      <c r="C588">
        <v>245</v>
      </c>
      <c r="D588">
        <v>159</v>
      </c>
      <c r="E588" s="1">
        <v>8298</v>
      </c>
      <c r="F588">
        <v>322</v>
      </c>
    </row>
    <row r="589" spans="1:6" x14ac:dyDescent="0.3">
      <c r="A589" t="s">
        <v>593</v>
      </c>
      <c r="B589">
        <v>167</v>
      </c>
      <c r="C589">
        <v>209</v>
      </c>
      <c r="D589">
        <v>157</v>
      </c>
      <c r="E589" s="1">
        <v>8294</v>
      </c>
      <c r="F589">
        <v>339</v>
      </c>
    </row>
    <row r="590" spans="1:6" x14ac:dyDescent="0.3">
      <c r="A590" t="s">
        <v>594</v>
      </c>
      <c r="B590">
        <v>84</v>
      </c>
      <c r="C590">
        <v>171</v>
      </c>
      <c r="D590">
        <v>157</v>
      </c>
      <c r="E590" s="1">
        <v>8261</v>
      </c>
      <c r="F590">
        <v>271</v>
      </c>
    </row>
    <row r="591" spans="1:6" x14ac:dyDescent="0.3">
      <c r="A591" t="s">
        <v>595</v>
      </c>
      <c r="B591">
        <v>87</v>
      </c>
      <c r="C591">
        <v>246</v>
      </c>
      <c r="D591">
        <v>173</v>
      </c>
      <c r="E591" s="1">
        <v>8103</v>
      </c>
      <c r="F591">
        <v>168</v>
      </c>
    </row>
    <row r="592" spans="1:6" x14ac:dyDescent="0.3">
      <c r="A592" t="s">
        <v>596</v>
      </c>
      <c r="B592">
        <v>136</v>
      </c>
      <c r="C592">
        <v>276</v>
      </c>
      <c r="D592">
        <v>178</v>
      </c>
      <c r="E592" s="1">
        <v>7800</v>
      </c>
      <c r="F592">
        <v>220</v>
      </c>
    </row>
    <row r="593" spans="1:6" x14ac:dyDescent="0.3">
      <c r="A593" t="s">
        <v>597</v>
      </c>
      <c r="B593">
        <v>166</v>
      </c>
      <c r="C593">
        <v>277</v>
      </c>
      <c r="D593">
        <v>229</v>
      </c>
      <c r="E593" s="1">
        <v>7671</v>
      </c>
      <c r="F593">
        <v>305</v>
      </c>
    </row>
    <row r="594" spans="1:6" x14ac:dyDescent="0.3">
      <c r="A594" t="s">
        <v>598</v>
      </c>
      <c r="B594">
        <v>110</v>
      </c>
      <c r="C594">
        <v>272</v>
      </c>
      <c r="D594">
        <v>193</v>
      </c>
      <c r="E594" s="1">
        <v>7754</v>
      </c>
      <c r="F594">
        <v>259</v>
      </c>
    </row>
    <row r="595" spans="1:6" x14ac:dyDescent="0.3">
      <c r="A595" t="s">
        <v>599</v>
      </c>
      <c r="B595">
        <v>202</v>
      </c>
      <c r="C595">
        <v>313</v>
      </c>
      <c r="D595">
        <v>158</v>
      </c>
      <c r="E595" s="1">
        <v>7647</v>
      </c>
      <c r="F595">
        <v>215</v>
      </c>
    </row>
    <row r="596" spans="1:6" x14ac:dyDescent="0.3">
      <c r="A596" t="s">
        <v>600</v>
      </c>
      <c r="B596">
        <v>134</v>
      </c>
      <c r="C596">
        <v>294</v>
      </c>
      <c r="D596">
        <v>186</v>
      </c>
      <c r="E596" s="1">
        <v>7510</v>
      </c>
      <c r="F596">
        <v>136</v>
      </c>
    </row>
    <row r="597" spans="1:6" x14ac:dyDescent="0.3">
      <c r="A597" t="s">
        <v>601</v>
      </c>
      <c r="B597">
        <v>180</v>
      </c>
      <c r="C597">
        <v>280</v>
      </c>
      <c r="D597">
        <v>146</v>
      </c>
      <c r="E597" s="1">
        <v>7220</v>
      </c>
      <c r="F597">
        <v>187</v>
      </c>
    </row>
    <row r="598" spans="1:6" x14ac:dyDescent="0.3">
      <c r="A598" t="s">
        <v>602</v>
      </c>
      <c r="B598">
        <v>108</v>
      </c>
      <c r="C598">
        <v>220</v>
      </c>
      <c r="D598">
        <v>213</v>
      </c>
      <c r="E598" s="1">
        <v>7052</v>
      </c>
      <c r="F598">
        <v>276</v>
      </c>
    </row>
    <row r="599" spans="1:6" x14ac:dyDescent="0.3">
      <c r="A599" t="s">
        <v>603</v>
      </c>
      <c r="B599">
        <v>147</v>
      </c>
      <c r="C599">
        <v>276</v>
      </c>
      <c r="D599">
        <v>214</v>
      </c>
      <c r="E599" s="1">
        <v>7116</v>
      </c>
      <c r="F599">
        <v>281</v>
      </c>
    </row>
    <row r="600" spans="1:6" x14ac:dyDescent="0.3">
      <c r="A600" t="s">
        <v>604</v>
      </c>
      <c r="B600">
        <v>104</v>
      </c>
      <c r="C600">
        <v>230</v>
      </c>
      <c r="D600">
        <v>206</v>
      </c>
      <c r="E600" s="1">
        <v>7001</v>
      </c>
      <c r="F600">
        <v>226</v>
      </c>
    </row>
    <row r="601" spans="1:6" x14ac:dyDescent="0.3">
      <c r="A601" t="s">
        <v>605</v>
      </c>
      <c r="B601">
        <v>174</v>
      </c>
      <c r="C601">
        <v>285</v>
      </c>
      <c r="D601">
        <v>150</v>
      </c>
      <c r="E601" s="1">
        <v>6874</v>
      </c>
      <c r="F601">
        <v>181</v>
      </c>
    </row>
    <row r="602" spans="1:6" x14ac:dyDescent="0.3">
      <c r="A602" t="s">
        <v>606</v>
      </c>
      <c r="B602">
        <v>113</v>
      </c>
      <c r="C602">
        <v>208</v>
      </c>
      <c r="D602">
        <v>159</v>
      </c>
      <c r="E602" s="1">
        <v>6632</v>
      </c>
      <c r="F602">
        <v>160</v>
      </c>
    </row>
    <row r="603" spans="1:6" x14ac:dyDescent="0.3">
      <c r="A603" t="s">
        <v>607</v>
      </c>
      <c r="B603">
        <v>88</v>
      </c>
      <c r="C603">
        <v>214</v>
      </c>
      <c r="D603">
        <v>160</v>
      </c>
      <c r="E603" s="1">
        <v>6468</v>
      </c>
      <c r="F603">
        <v>218</v>
      </c>
    </row>
    <row r="604" spans="1:6" x14ac:dyDescent="0.3">
      <c r="A604" t="s">
        <v>608</v>
      </c>
      <c r="B604">
        <v>130</v>
      </c>
      <c r="C604">
        <v>227</v>
      </c>
      <c r="D604">
        <v>192</v>
      </c>
      <c r="E604" s="1">
        <v>6604</v>
      </c>
      <c r="F604">
        <v>226</v>
      </c>
    </row>
    <row r="605" spans="1:6" x14ac:dyDescent="0.3">
      <c r="A605" t="s">
        <v>609</v>
      </c>
      <c r="B605">
        <v>84</v>
      </c>
      <c r="C605">
        <v>158</v>
      </c>
      <c r="D605">
        <v>193</v>
      </c>
      <c r="E605" s="1">
        <v>6521</v>
      </c>
      <c r="F605">
        <v>210</v>
      </c>
    </row>
    <row r="606" spans="1:6" x14ac:dyDescent="0.3">
      <c r="A606" t="s">
        <v>610</v>
      </c>
      <c r="B606">
        <v>115</v>
      </c>
      <c r="C606">
        <v>216</v>
      </c>
      <c r="D606">
        <v>169</v>
      </c>
      <c r="E606" s="1">
        <v>6498</v>
      </c>
      <c r="F606">
        <v>143</v>
      </c>
    </row>
    <row r="607" spans="1:6" x14ac:dyDescent="0.3">
      <c r="A607" t="s">
        <v>611</v>
      </c>
      <c r="B607">
        <v>167</v>
      </c>
      <c r="C607">
        <v>239</v>
      </c>
      <c r="D607">
        <v>166</v>
      </c>
      <c r="E607" s="1">
        <v>6346</v>
      </c>
      <c r="F607">
        <v>163</v>
      </c>
    </row>
    <row r="608" spans="1:6" x14ac:dyDescent="0.3">
      <c r="A608" t="s">
        <v>612</v>
      </c>
      <c r="B608">
        <v>99</v>
      </c>
      <c r="C608">
        <v>190</v>
      </c>
      <c r="D608">
        <v>176</v>
      </c>
      <c r="E608" s="1">
        <v>6214</v>
      </c>
      <c r="F608">
        <v>196</v>
      </c>
    </row>
    <row r="609" spans="1:6" x14ac:dyDescent="0.3">
      <c r="A609" t="s">
        <v>613</v>
      </c>
      <c r="B609">
        <v>101</v>
      </c>
      <c r="C609">
        <v>162</v>
      </c>
      <c r="D609">
        <v>178</v>
      </c>
      <c r="E609" s="1">
        <v>6239</v>
      </c>
      <c r="F609">
        <v>205</v>
      </c>
    </row>
    <row r="610" spans="1:6" x14ac:dyDescent="0.3">
      <c r="A610" t="s">
        <v>614</v>
      </c>
      <c r="B610">
        <v>107</v>
      </c>
      <c r="C610">
        <v>215</v>
      </c>
      <c r="D610">
        <v>230</v>
      </c>
      <c r="E610" s="1">
        <v>6193</v>
      </c>
      <c r="F610">
        <v>167</v>
      </c>
    </row>
    <row r="611" spans="1:6" x14ac:dyDescent="0.3">
      <c r="A611" t="s">
        <v>615</v>
      </c>
      <c r="B611">
        <v>184</v>
      </c>
      <c r="C611">
        <v>314</v>
      </c>
      <c r="D611">
        <v>217</v>
      </c>
      <c r="E611" s="1">
        <v>6127</v>
      </c>
      <c r="F611">
        <v>124</v>
      </c>
    </row>
    <row r="612" spans="1:6" x14ac:dyDescent="0.3">
      <c r="A612" t="s">
        <v>616</v>
      </c>
      <c r="B612">
        <v>209</v>
      </c>
      <c r="C612">
        <v>285</v>
      </c>
      <c r="D612">
        <v>184</v>
      </c>
      <c r="E612" s="1">
        <v>5903</v>
      </c>
      <c r="F612">
        <v>309</v>
      </c>
    </row>
    <row r="613" spans="1:6" x14ac:dyDescent="0.3">
      <c r="A613" t="s">
        <v>617</v>
      </c>
      <c r="B613">
        <v>81</v>
      </c>
      <c r="C613">
        <v>213</v>
      </c>
      <c r="D613">
        <v>153</v>
      </c>
      <c r="E613" s="1">
        <v>6058</v>
      </c>
      <c r="F613">
        <v>213</v>
      </c>
    </row>
    <row r="614" spans="1:6" x14ac:dyDescent="0.3">
      <c r="A614" t="s">
        <v>618</v>
      </c>
      <c r="B614">
        <v>91</v>
      </c>
      <c r="C614">
        <v>199</v>
      </c>
      <c r="D614">
        <v>172</v>
      </c>
      <c r="E614" s="1">
        <v>5999</v>
      </c>
      <c r="F614">
        <v>174</v>
      </c>
    </row>
    <row r="615" spans="1:6" x14ac:dyDescent="0.3">
      <c r="A615" t="s">
        <v>619</v>
      </c>
      <c r="B615">
        <v>154</v>
      </c>
      <c r="C615">
        <v>225</v>
      </c>
      <c r="D615">
        <v>220</v>
      </c>
      <c r="E615" s="1">
        <v>5917</v>
      </c>
      <c r="F615">
        <v>155</v>
      </c>
    </row>
    <row r="616" spans="1:6" x14ac:dyDescent="0.3">
      <c r="A616" t="s">
        <v>620</v>
      </c>
      <c r="B616">
        <v>186</v>
      </c>
      <c r="C616">
        <v>259</v>
      </c>
      <c r="D616">
        <v>172</v>
      </c>
      <c r="E616" s="1">
        <v>5819</v>
      </c>
      <c r="F616">
        <v>174</v>
      </c>
    </row>
    <row r="617" spans="1:6" x14ac:dyDescent="0.3">
      <c r="A617" t="s">
        <v>621</v>
      </c>
      <c r="B617">
        <v>92</v>
      </c>
      <c r="C617">
        <v>203</v>
      </c>
      <c r="D617">
        <v>173</v>
      </c>
      <c r="E617" s="1">
        <v>5766</v>
      </c>
      <c r="F617">
        <v>263</v>
      </c>
    </row>
    <row r="618" spans="1:6" x14ac:dyDescent="0.3">
      <c r="A618" t="s">
        <v>622</v>
      </c>
      <c r="B618">
        <v>124</v>
      </c>
      <c r="C618">
        <v>234</v>
      </c>
      <c r="D618">
        <v>161</v>
      </c>
      <c r="E618" s="1">
        <v>5956</v>
      </c>
      <c r="F618">
        <v>207</v>
      </c>
    </row>
    <row r="619" spans="1:6" x14ac:dyDescent="0.3">
      <c r="A619" t="s">
        <v>623</v>
      </c>
      <c r="B619">
        <v>93</v>
      </c>
      <c r="C619">
        <v>196</v>
      </c>
      <c r="D619">
        <v>169</v>
      </c>
      <c r="E619" s="1">
        <v>5922</v>
      </c>
      <c r="F619">
        <v>149</v>
      </c>
    </row>
    <row r="620" spans="1:6" x14ac:dyDescent="0.3">
      <c r="A620" t="s">
        <v>624</v>
      </c>
      <c r="B620">
        <v>33</v>
      </c>
      <c r="C620">
        <v>53</v>
      </c>
      <c r="D620">
        <v>34</v>
      </c>
      <c r="E620" s="1">
        <v>5904</v>
      </c>
      <c r="F620">
        <v>134</v>
      </c>
    </row>
    <row r="621" spans="1:6" x14ac:dyDescent="0.3">
      <c r="A621" t="s">
        <v>625</v>
      </c>
      <c r="B621">
        <v>29</v>
      </c>
      <c r="C621">
        <v>51</v>
      </c>
      <c r="D621">
        <v>11</v>
      </c>
      <c r="E621" s="1">
        <v>5679</v>
      </c>
      <c r="F621">
        <v>142</v>
      </c>
    </row>
    <row r="622" spans="1:6" x14ac:dyDescent="0.3">
      <c r="A622" t="s">
        <v>626</v>
      </c>
      <c r="B622">
        <v>91</v>
      </c>
      <c r="C622">
        <v>75</v>
      </c>
      <c r="D622">
        <v>97</v>
      </c>
      <c r="E622" s="1">
        <v>6038</v>
      </c>
      <c r="F622">
        <v>272</v>
      </c>
    </row>
    <row r="623" spans="1:6" x14ac:dyDescent="0.3">
      <c r="A623" t="s">
        <v>627</v>
      </c>
      <c r="B623">
        <v>62</v>
      </c>
      <c r="C623">
        <v>97</v>
      </c>
      <c r="D623">
        <v>52</v>
      </c>
      <c r="E623" s="1">
        <v>6065</v>
      </c>
      <c r="F623">
        <v>167</v>
      </c>
    </row>
    <row r="624" spans="1:6" x14ac:dyDescent="0.3">
      <c r="A624" t="s">
        <v>628</v>
      </c>
      <c r="B624">
        <v>59</v>
      </c>
      <c r="C624">
        <v>64</v>
      </c>
      <c r="D624">
        <v>117</v>
      </c>
      <c r="E624" s="1">
        <v>6061</v>
      </c>
      <c r="F624">
        <v>146</v>
      </c>
    </row>
    <row r="625" spans="1:6" x14ac:dyDescent="0.3">
      <c r="A625" t="s">
        <v>629</v>
      </c>
      <c r="B625">
        <v>84</v>
      </c>
      <c r="C625">
        <v>118</v>
      </c>
      <c r="D625">
        <v>136</v>
      </c>
      <c r="E625" s="1">
        <v>6021</v>
      </c>
      <c r="F625">
        <v>177</v>
      </c>
    </row>
    <row r="626" spans="1:6" x14ac:dyDescent="0.3">
      <c r="A626" t="s">
        <v>630</v>
      </c>
      <c r="B626">
        <v>86</v>
      </c>
      <c r="C626">
        <v>152</v>
      </c>
      <c r="D626">
        <v>168</v>
      </c>
      <c r="E626" s="1">
        <v>6007</v>
      </c>
      <c r="F626">
        <v>238</v>
      </c>
    </row>
    <row r="627" spans="1:6" x14ac:dyDescent="0.3">
      <c r="A627" t="s">
        <v>631</v>
      </c>
      <c r="B627">
        <v>106</v>
      </c>
      <c r="C627">
        <v>196</v>
      </c>
      <c r="D627">
        <v>131</v>
      </c>
      <c r="E627" s="1">
        <v>6446</v>
      </c>
      <c r="F627">
        <v>255</v>
      </c>
    </row>
    <row r="628" spans="1:6" x14ac:dyDescent="0.3">
      <c r="A628" t="s">
        <v>632</v>
      </c>
      <c r="B628">
        <v>113</v>
      </c>
      <c r="C628">
        <v>162</v>
      </c>
      <c r="D628">
        <v>107</v>
      </c>
      <c r="E628" s="1">
        <v>6483</v>
      </c>
      <c r="F628">
        <v>208</v>
      </c>
    </row>
    <row r="629" spans="1:6" x14ac:dyDescent="0.3">
      <c r="A629" t="s">
        <v>633</v>
      </c>
      <c r="B629">
        <v>92</v>
      </c>
      <c r="C629">
        <v>124</v>
      </c>
      <c r="D629">
        <v>93</v>
      </c>
      <c r="E629" s="1">
        <v>6508</v>
      </c>
      <c r="F629">
        <v>187</v>
      </c>
    </row>
    <row r="630" spans="1:6" x14ac:dyDescent="0.3">
      <c r="A630" t="s">
        <v>634</v>
      </c>
      <c r="B630">
        <v>68</v>
      </c>
      <c r="C630">
        <v>107</v>
      </c>
      <c r="D630">
        <v>102</v>
      </c>
      <c r="E630" s="1">
        <v>6523</v>
      </c>
      <c r="F630">
        <v>189</v>
      </c>
    </row>
    <row r="631" spans="1:6" x14ac:dyDescent="0.3">
      <c r="A631" t="s">
        <v>635</v>
      </c>
      <c r="B631">
        <v>74</v>
      </c>
      <c r="C631">
        <v>103</v>
      </c>
      <c r="D631">
        <v>80</v>
      </c>
      <c r="E631" s="1">
        <v>6555</v>
      </c>
      <c r="F631">
        <v>292</v>
      </c>
    </row>
    <row r="632" spans="1:6" x14ac:dyDescent="0.3">
      <c r="A632" t="s">
        <v>636</v>
      </c>
      <c r="B632">
        <v>56</v>
      </c>
      <c r="C632">
        <v>82</v>
      </c>
      <c r="D632">
        <v>68</v>
      </c>
      <c r="E632" s="1">
        <v>7002</v>
      </c>
      <c r="F632">
        <v>287</v>
      </c>
    </row>
    <row r="633" spans="1:6" x14ac:dyDescent="0.3">
      <c r="A633" t="s">
        <v>637</v>
      </c>
      <c r="B633">
        <v>38</v>
      </c>
      <c r="C633">
        <v>80</v>
      </c>
      <c r="D633">
        <v>82</v>
      </c>
      <c r="E633" s="1">
        <v>7053</v>
      </c>
      <c r="F633">
        <v>210</v>
      </c>
    </row>
    <row r="634" spans="1:6" x14ac:dyDescent="0.3">
      <c r="A634" t="s">
        <v>638</v>
      </c>
      <c r="B634">
        <v>65</v>
      </c>
      <c r="C634">
        <v>83</v>
      </c>
      <c r="D634">
        <v>65</v>
      </c>
      <c r="E634" s="1">
        <v>7046</v>
      </c>
      <c r="F634">
        <v>168</v>
      </c>
    </row>
    <row r="635" spans="1:6" x14ac:dyDescent="0.3">
      <c r="A635" t="s">
        <v>639</v>
      </c>
      <c r="B635">
        <v>41</v>
      </c>
      <c r="C635">
        <v>60</v>
      </c>
      <c r="D635">
        <v>71</v>
      </c>
      <c r="E635" s="1">
        <v>6996</v>
      </c>
      <c r="F635">
        <v>207</v>
      </c>
    </row>
    <row r="636" spans="1:6" x14ac:dyDescent="0.3">
      <c r="A636" t="s">
        <v>640</v>
      </c>
      <c r="B636">
        <v>43</v>
      </c>
      <c r="C636">
        <v>73</v>
      </c>
      <c r="D636">
        <v>64</v>
      </c>
      <c r="E636" s="1">
        <v>7546</v>
      </c>
      <c r="F636">
        <v>408</v>
      </c>
    </row>
    <row r="637" spans="1:6" x14ac:dyDescent="0.3">
      <c r="A637" t="s">
        <v>641</v>
      </c>
      <c r="B637">
        <v>35</v>
      </c>
      <c r="C637">
        <v>70</v>
      </c>
      <c r="D637">
        <v>53</v>
      </c>
      <c r="E637" s="1">
        <v>7709</v>
      </c>
      <c r="F637">
        <v>276</v>
      </c>
    </row>
    <row r="638" spans="1:6" x14ac:dyDescent="0.3">
      <c r="A638" t="s">
        <v>642</v>
      </c>
      <c r="B638">
        <v>25</v>
      </c>
      <c r="C638">
        <v>66</v>
      </c>
      <c r="D638">
        <v>94</v>
      </c>
      <c r="E638" s="1">
        <v>7788</v>
      </c>
      <c r="F638">
        <v>246</v>
      </c>
    </row>
    <row r="639" spans="1:6" x14ac:dyDescent="0.3">
      <c r="A639" t="s">
        <v>643</v>
      </c>
      <c r="B639">
        <v>99</v>
      </c>
      <c r="C639">
        <v>156</v>
      </c>
      <c r="D639">
        <v>139</v>
      </c>
      <c r="E639" s="1">
        <v>7848</v>
      </c>
      <c r="F639">
        <v>240</v>
      </c>
    </row>
    <row r="640" spans="1:6" x14ac:dyDescent="0.3">
      <c r="A640" t="s">
        <v>644</v>
      </c>
      <c r="B640">
        <v>107</v>
      </c>
      <c r="C640">
        <v>170</v>
      </c>
      <c r="D640">
        <v>133</v>
      </c>
      <c r="E640" s="1">
        <v>7826</v>
      </c>
      <c r="F640">
        <v>343</v>
      </c>
    </row>
    <row r="641" spans="1:6" x14ac:dyDescent="0.3">
      <c r="A641" t="s">
        <v>645</v>
      </c>
      <c r="B641">
        <v>80</v>
      </c>
      <c r="C641">
        <v>122</v>
      </c>
      <c r="D641">
        <v>152</v>
      </c>
      <c r="E641" s="1">
        <v>8474</v>
      </c>
      <c r="F641">
        <v>351</v>
      </c>
    </row>
    <row r="642" spans="1:6" x14ac:dyDescent="0.3">
      <c r="A642" t="s">
        <v>646</v>
      </c>
      <c r="B642">
        <v>57</v>
      </c>
      <c r="C642">
        <v>162</v>
      </c>
      <c r="D642">
        <v>193</v>
      </c>
      <c r="E642" s="1">
        <v>8569</v>
      </c>
      <c r="F642">
        <v>307</v>
      </c>
    </row>
    <row r="643" spans="1:6" x14ac:dyDescent="0.3">
      <c r="A643" t="s">
        <v>647</v>
      </c>
      <c r="B643">
        <v>161</v>
      </c>
      <c r="C643">
        <v>304</v>
      </c>
      <c r="D643">
        <v>211</v>
      </c>
      <c r="E643" s="1">
        <v>8572</v>
      </c>
      <c r="F643">
        <v>272</v>
      </c>
    </row>
    <row r="644" spans="1:6" x14ac:dyDescent="0.3">
      <c r="A644" t="s">
        <v>648</v>
      </c>
      <c r="B644">
        <v>205</v>
      </c>
      <c r="C644">
        <v>294</v>
      </c>
      <c r="D644">
        <v>177</v>
      </c>
      <c r="E644" s="1">
        <v>8571</v>
      </c>
      <c r="F644">
        <v>277</v>
      </c>
    </row>
    <row r="645" spans="1:6" x14ac:dyDescent="0.3">
      <c r="A645" t="s">
        <v>649</v>
      </c>
      <c r="B645">
        <v>100</v>
      </c>
      <c r="C645">
        <v>255</v>
      </c>
      <c r="D645">
        <v>236</v>
      </c>
      <c r="E645" s="1">
        <v>8445</v>
      </c>
      <c r="F645">
        <v>288</v>
      </c>
    </row>
    <row r="646" spans="1:6" x14ac:dyDescent="0.3">
      <c r="A646" t="s">
        <v>650</v>
      </c>
      <c r="B646">
        <v>269</v>
      </c>
      <c r="C646">
        <v>412</v>
      </c>
      <c r="D646">
        <v>204</v>
      </c>
      <c r="E646" s="1">
        <v>8672</v>
      </c>
      <c r="F646">
        <v>392</v>
      </c>
    </row>
    <row r="647" spans="1:6" x14ac:dyDescent="0.3">
      <c r="A647" t="s">
        <v>651</v>
      </c>
      <c r="B647">
        <v>168</v>
      </c>
      <c r="C647">
        <v>285</v>
      </c>
      <c r="D647">
        <v>210</v>
      </c>
      <c r="E647" s="1">
        <v>8681</v>
      </c>
      <c r="F647">
        <v>304</v>
      </c>
    </row>
    <row r="648" spans="1:6" x14ac:dyDescent="0.3">
      <c r="A648" t="s">
        <v>652</v>
      </c>
      <c r="B648">
        <v>187</v>
      </c>
      <c r="C648">
        <v>310</v>
      </c>
      <c r="D648">
        <v>247</v>
      </c>
      <c r="E648" s="1">
        <v>8606</v>
      </c>
      <c r="F648">
        <v>250</v>
      </c>
    </row>
    <row r="649" spans="1:6" x14ac:dyDescent="0.3">
      <c r="A649" t="s">
        <v>653</v>
      </c>
      <c r="B649">
        <v>133</v>
      </c>
      <c r="C649">
        <v>287</v>
      </c>
      <c r="D649">
        <v>189</v>
      </c>
      <c r="E649" s="1">
        <v>8590</v>
      </c>
      <c r="F649">
        <v>261</v>
      </c>
    </row>
    <row r="650" spans="1:6" x14ac:dyDescent="0.3">
      <c r="A650" t="s">
        <v>654</v>
      </c>
      <c r="B650">
        <v>180</v>
      </c>
      <c r="C650">
        <v>337</v>
      </c>
      <c r="D650">
        <v>219</v>
      </c>
      <c r="E650" s="1">
        <v>8485</v>
      </c>
      <c r="F650">
        <v>375</v>
      </c>
    </row>
    <row r="651" spans="1:6" x14ac:dyDescent="0.3">
      <c r="A651" t="s">
        <v>655</v>
      </c>
      <c r="B651">
        <v>153</v>
      </c>
      <c r="C651">
        <v>253</v>
      </c>
      <c r="D651">
        <v>286</v>
      </c>
      <c r="E651" s="1">
        <v>8790</v>
      </c>
      <c r="F651">
        <v>332</v>
      </c>
    </row>
    <row r="652" spans="1:6" x14ac:dyDescent="0.3">
      <c r="A652" t="s">
        <v>656</v>
      </c>
      <c r="B652">
        <v>209</v>
      </c>
      <c r="C652">
        <v>353</v>
      </c>
      <c r="D652">
        <v>232</v>
      </c>
      <c r="E652" s="1">
        <v>8704</v>
      </c>
      <c r="F652">
        <v>267</v>
      </c>
    </row>
    <row r="653" spans="1:6" x14ac:dyDescent="0.3">
      <c r="A653" t="s">
        <v>657</v>
      </c>
      <c r="B653">
        <v>167</v>
      </c>
      <c r="C653">
        <v>326</v>
      </c>
      <c r="D653">
        <v>213</v>
      </c>
      <c r="E653" s="1">
        <v>8654</v>
      </c>
      <c r="F653">
        <v>245</v>
      </c>
    </row>
    <row r="654" spans="1:6" x14ac:dyDescent="0.3">
      <c r="A654" t="s">
        <v>658</v>
      </c>
      <c r="B654">
        <v>224</v>
      </c>
      <c r="C654">
        <v>315</v>
      </c>
      <c r="D654">
        <v>152</v>
      </c>
      <c r="E654" s="1">
        <v>8492</v>
      </c>
      <c r="F654">
        <v>237</v>
      </c>
    </row>
    <row r="655" spans="1:6" x14ac:dyDescent="0.3">
      <c r="A655" t="s">
        <v>659</v>
      </c>
      <c r="B655">
        <v>132</v>
      </c>
      <c r="C655">
        <v>243</v>
      </c>
      <c r="D655">
        <v>183</v>
      </c>
      <c r="E655" s="1">
        <v>8352</v>
      </c>
      <c r="F655">
        <v>293</v>
      </c>
    </row>
    <row r="656" spans="1:6" x14ac:dyDescent="0.3">
      <c r="A656" t="s">
        <v>660</v>
      </c>
      <c r="B656">
        <v>218</v>
      </c>
      <c r="C656">
        <v>283</v>
      </c>
      <c r="D656">
        <v>208</v>
      </c>
      <c r="E656" s="1">
        <v>8159</v>
      </c>
      <c r="F656">
        <v>310</v>
      </c>
    </row>
    <row r="657" spans="1:6" x14ac:dyDescent="0.3">
      <c r="A657" t="s">
        <v>661</v>
      </c>
      <c r="B657">
        <v>118</v>
      </c>
      <c r="C657">
        <v>245</v>
      </c>
      <c r="D657">
        <v>160</v>
      </c>
      <c r="E657" s="1">
        <v>8117</v>
      </c>
      <c r="F657">
        <v>256</v>
      </c>
    </row>
    <row r="658" spans="1:6" x14ac:dyDescent="0.3">
      <c r="A658" t="s">
        <v>662</v>
      </c>
      <c r="B658">
        <v>81</v>
      </c>
      <c r="C658">
        <v>230</v>
      </c>
      <c r="D658">
        <v>242</v>
      </c>
      <c r="E658" s="1">
        <v>8017</v>
      </c>
      <c r="F658">
        <v>202</v>
      </c>
    </row>
    <row r="659" spans="1:6" x14ac:dyDescent="0.3">
      <c r="A659" t="s">
        <v>663</v>
      </c>
      <c r="B659">
        <v>236</v>
      </c>
      <c r="C659">
        <v>330</v>
      </c>
      <c r="D659">
        <v>222</v>
      </c>
      <c r="E659" s="1">
        <v>7796</v>
      </c>
      <c r="F659">
        <v>213</v>
      </c>
    </row>
    <row r="660" spans="1:6" x14ac:dyDescent="0.3">
      <c r="A660" t="s">
        <v>664</v>
      </c>
      <c r="B660">
        <v>196</v>
      </c>
      <c r="C660">
        <v>306</v>
      </c>
      <c r="D660">
        <v>187</v>
      </c>
      <c r="E660" s="1">
        <v>7534</v>
      </c>
      <c r="F660">
        <v>266</v>
      </c>
    </row>
    <row r="661" spans="1:6" x14ac:dyDescent="0.3">
      <c r="A661" t="s">
        <v>665</v>
      </c>
      <c r="B661">
        <v>113</v>
      </c>
      <c r="C661">
        <v>280</v>
      </c>
      <c r="D661">
        <v>237</v>
      </c>
      <c r="E661" s="1">
        <v>7490</v>
      </c>
      <c r="F661">
        <v>320</v>
      </c>
    </row>
    <row r="662" spans="1:6" x14ac:dyDescent="0.3">
      <c r="A662" t="s">
        <v>666</v>
      </c>
      <c r="B662">
        <v>239</v>
      </c>
      <c r="C662">
        <v>367</v>
      </c>
      <c r="D662">
        <v>224</v>
      </c>
      <c r="E662" s="1">
        <v>7356</v>
      </c>
      <c r="F662">
        <v>229</v>
      </c>
    </row>
    <row r="663" spans="1:6" x14ac:dyDescent="0.3">
      <c r="A663" t="s">
        <v>667</v>
      </c>
      <c r="B663">
        <v>152</v>
      </c>
      <c r="C663">
        <v>272</v>
      </c>
      <c r="D663">
        <v>214</v>
      </c>
      <c r="E663" s="1">
        <v>7376</v>
      </c>
      <c r="F663">
        <v>234</v>
      </c>
    </row>
    <row r="664" spans="1:6" x14ac:dyDescent="0.3">
      <c r="A664" t="s">
        <v>668</v>
      </c>
      <c r="B664">
        <v>170</v>
      </c>
      <c r="C664">
        <v>297</v>
      </c>
      <c r="D664">
        <v>196</v>
      </c>
      <c r="E664" s="1">
        <v>7344</v>
      </c>
      <c r="F664">
        <v>248</v>
      </c>
    </row>
    <row r="665" spans="1:6" x14ac:dyDescent="0.3">
      <c r="A665" t="s">
        <v>669</v>
      </c>
      <c r="B665">
        <v>191</v>
      </c>
      <c r="C665">
        <v>283</v>
      </c>
      <c r="D665">
        <v>192</v>
      </c>
      <c r="E665" s="1">
        <v>7380</v>
      </c>
      <c r="F665">
        <v>272</v>
      </c>
    </row>
    <row r="666" spans="1:6" x14ac:dyDescent="0.3">
      <c r="A666" t="s">
        <v>670</v>
      </c>
      <c r="B666">
        <v>109</v>
      </c>
      <c r="C666">
        <v>214</v>
      </c>
      <c r="D666">
        <v>173</v>
      </c>
      <c r="E666" s="1">
        <v>7795</v>
      </c>
      <c r="F666">
        <v>370</v>
      </c>
    </row>
    <row r="667" spans="1:6" x14ac:dyDescent="0.3">
      <c r="A667" t="s">
        <v>671</v>
      </c>
      <c r="B667">
        <v>155</v>
      </c>
      <c r="C667">
        <v>212</v>
      </c>
      <c r="D667">
        <v>181</v>
      </c>
      <c r="E667" s="1">
        <v>7876</v>
      </c>
      <c r="F667">
        <v>283</v>
      </c>
    </row>
    <row r="668" spans="1:6" x14ac:dyDescent="0.3">
      <c r="A668" t="s">
        <v>672</v>
      </c>
      <c r="B668">
        <v>119</v>
      </c>
      <c r="C668">
        <v>209</v>
      </c>
      <c r="D668">
        <v>152</v>
      </c>
      <c r="E668" s="1">
        <v>7922</v>
      </c>
      <c r="F668">
        <v>187</v>
      </c>
    </row>
    <row r="669" spans="1:6" x14ac:dyDescent="0.3">
      <c r="A669" t="s">
        <v>673</v>
      </c>
      <c r="B669">
        <v>143</v>
      </c>
      <c r="C669">
        <v>203</v>
      </c>
      <c r="D669">
        <v>163</v>
      </c>
      <c r="E669" s="1">
        <v>7826</v>
      </c>
      <c r="F669">
        <v>265</v>
      </c>
    </row>
    <row r="670" spans="1:6" x14ac:dyDescent="0.3">
      <c r="A670" t="s">
        <v>674</v>
      </c>
      <c r="B670">
        <v>105</v>
      </c>
      <c r="C670">
        <v>210</v>
      </c>
      <c r="D670">
        <v>149</v>
      </c>
      <c r="E670" s="1">
        <v>7900</v>
      </c>
      <c r="F670">
        <v>329</v>
      </c>
    </row>
    <row r="671" spans="1:6" x14ac:dyDescent="0.3">
      <c r="A671" t="s">
        <v>675</v>
      </c>
      <c r="B671">
        <v>119</v>
      </c>
      <c r="C671">
        <v>219</v>
      </c>
      <c r="D671">
        <v>210</v>
      </c>
      <c r="E671" s="1">
        <v>8178</v>
      </c>
      <c r="F671">
        <v>284</v>
      </c>
    </row>
    <row r="672" spans="1:6" x14ac:dyDescent="0.3">
      <c r="A672" t="s">
        <v>676</v>
      </c>
      <c r="B672">
        <v>148</v>
      </c>
      <c r="C672">
        <v>245</v>
      </c>
      <c r="D672">
        <v>175</v>
      </c>
      <c r="E672" s="1">
        <v>8175</v>
      </c>
      <c r="F672">
        <v>260</v>
      </c>
    </row>
    <row r="673" spans="1:6" x14ac:dyDescent="0.3">
      <c r="A673" t="s">
        <v>677</v>
      </c>
      <c r="B673">
        <v>142</v>
      </c>
      <c r="C673">
        <v>235</v>
      </c>
      <c r="D673">
        <v>139</v>
      </c>
      <c r="E673" s="1">
        <v>8068</v>
      </c>
      <c r="F673">
        <v>259</v>
      </c>
    </row>
    <row r="674" spans="1:6" x14ac:dyDescent="0.3">
      <c r="A674" t="s">
        <v>678</v>
      </c>
      <c r="B674">
        <v>118</v>
      </c>
      <c r="C674">
        <v>139</v>
      </c>
      <c r="D674">
        <v>168</v>
      </c>
      <c r="E674" s="1">
        <v>8054</v>
      </c>
      <c r="F674">
        <v>284</v>
      </c>
    </row>
    <row r="675" spans="1:6" x14ac:dyDescent="0.3">
      <c r="A675" t="s">
        <v>679</v>
      </c>
      <c r="B675">
        <v>125</v>
      </c>
      <c r="C675">
        <v>232</v>
      </c>
      <c r="D675">
        <v>192</v>
      </c>
      <c r="E675" s="1">
        <v>7981</v>
      </c>
      <c r="F675">
        <v>304</v>
      </c>
    </row>
    <row r="676" spans="1:6" x14ac:dyDescent="0.3">
      <c r="A676" t="s">
        <v>680</v>
      </c>
      <c r="B676">
        <v>156</v>
      </c>
      <c r="C676">
        <v>256</v>
      </c>
      <c r="D676">
        <v>176</v>
      </c>
      <c r="E676" s="1">
        <v>8158</v>
      </c>
      <c r="F676">
        <v>359</v>
      </c>
    </row>
    <row r="677" spans="1:6" x14ac:dyDescent="0.3">
      <c r="A677" t="s">
        <v>681</v>
      </c>
      <c r="B677">
        <v>109</v>
      </c>
      <c r="C677">
        <v>245</v>
      </c>
      <c r="D677">
        <v>159</v>
      </c>
      <c r="E677" s="1">
        <v>8208</v>
      </c>
      <c r="F677">
        <v>267</v>
      </c>
    </row>
    <row r="678" spans="1:6" x14ac:dyDescent="0.3">
      <c r="A678" t="s">
        <v>682</v>
      </c>
      <c r="B678">
        <v>167</v>
      </c>
      <c r="C678">
        <v>209</v>
      </c>
      <c r="D678">
        <v>157</v>
      </c>
      <c r="E678" s="1">
        <v>8079</v>
      </c>
      <c r="F678">
        <v>223</v>
      </c>
    </row>
    <row r="679" spans="1:6" x14ac:dyDescent="0.3">
      <c r="A679" t="s">
        <v>683</v>
      </c>
      <c r="B679">
        <v>84</v>
      </c>
      <c r="C679">
        <v>171</v>
      </c>
      <c r="D679">
        <v>157</v>
      </c>
      <c r="E679" s="1">
        <v>7994</v>
      </c>
      <c r="F679">
        <v>235</v>
      </c>
    </row>
    <row r="680" spans="1:6" x14ac:dyDescent="0.3">
      <c r="A680" t="s">
        <v>684</v>
      </c>
      <c r="B680">
        <v>87</v>
      </c>
      <c r="C680">
        <v>246</v>
      </c>
      <c r="D680">
        <v>173</v>
      </c>
      <c r="E680" s="1">
        <v>7847</v>
      </c>
      <c r="F680">
        <v>352</v>
      </c>
    </row>
    <row r="681" spans="1:6" x14ac:dyDescent="0.3">
      <c r="A681" t="s">
        <v>685</v>
      </c>
      <c r="B681">
        <v>136</v>
      </c>
      <c r="C681">
        <v>276</v>
      </c>
      <c r="D681">
        <v>178</v>
      </c>
      <c r="E681" s="1">
        <v>8102</v>
      </c>
      <c r="F681">
        <v>331</v>
      </c>
    </row>
    <row r="682" spans="1:6" x14ac:dyDescent="0.3">
      <c r="A682" t="s">
        <v>686</v>
      </c>
      <c r="B682">
        <v>166</v>
      </c>
      <c r="C682">
        <v>277</v>
      </c>
      <c r="D682">
        <v>229</v>
      </c>
      <c r="E682" s="1">
        <v>8097</v>
      </c>
      <c r="F682">
        <v>246</v>
      </c>
    </row>
    <row r="683" spans="1:6" x14ac:dyDescent="0.3">
      <c r="A683" t="s">
        <v>687</v>
      </c>
      <c r="B683">
        <v>110</v>
      </c>
      <c r="C683">
        <v>272</v>
      </c>
      <c r="D683">
        <v>193</v>
      </c>
      <c r="E683" s="1">
        <v>8050</v>
      </c>
      <c r="F683">
        <v>221</v>
      </c>
    </row>
    <row r="684" spans="1:6" x14ac:dyDescent="0.3">
      <c r="A684" t="s">
        <v>688</v>
      </c>
      <c r="B684">
        <v>202</v>
      </c>
      <c r="C684">
        <v>313</v>
      </c>
      <c r="D684">
        <v>158</v>
      </c>
      <c r="E684" s="1">
        <v>7931</v>
      </c>
      <c r="F684">
        <v>279</v>
      </c>
    </row>
    <row r="685" spans="1:6" x14ac:dyDescent="0.3">
      <c r="A685" t="s">
        <v>689</v>
      </c>
      <c r="B685">
        <v>134</v>
      </c>
      <c r="C685">
        <v>294</v>
      </c>
      <c r="D685">
        <v>186</v>
      </c>
      <c r="E685" s="1">
        <v>7885</v>
      </c>
      <c r="F685">
        <v>306</v>
      </c>
    </row>
    <row r="686" spans="1:6" x14ac:dyDescent="0.3">
      <c r="A686" t="s">
        <v>690</v>
      </c>
      <c r="B686">
        <v>180</v>
      </c>
      <c r="C686">
        <v>280</v>
      </c>
      <c r="D686">
        <v>146</v>
      </c>
      <c r="E686" s="1">
        <v>7989</v>
      </c>
      <c r="F686">
        <v>308</v>
      </c>
    </row>
    <row r="687" spans="1:6" x14ac:dyDescent="0.3">
      <c r="A687" t="s">
        <v>691</v>
      </c>
      <c r="B687">
        <v>108</v>
      </c>
      <c r="C687">
        <v>220</v>
      </c>
      <c r="D687">
        <v>213</v>
      </c>
      <c r="E687" s="1">
        <v>7915</v>
      </c>
      <c r="F687">
        <v>286</v>
      </c>
    </row>
    <row r="688" spans="1:6" x14ac:dyDescent="0.3">
      <c r="A688" t="s">
        <v>692</v>
      </c>
      <c r="B688">
        <v>147</v>
      </c>
      <c r="C688">
        <v>276</v>
      </c>
      <c r="D688">
        <v>214</v>
      </c>
      <c r="E688" s="1">
        <v>7810</v>
      </c>
      <c r="F688">
        <v>181</v>
      </c>
    </row>
    <row r="689" spans="1:6" x14ac:dyDescent="0.3">
      <c r="A689" t="s">
        <v>693</v>
      </c>
      <c r="B689">
        <v>104</v>
      </c>
      <c r="C689">
        <v>230</v>
      </c>
      <c r="D689">
        <v>206</v>
      </c>
      <c r="E689" s="1">
        <v>7567</v>
      </c>
      <c r="F689">
        <v>249</v>
      </c>
    </row>
    <row r="690" spans="1:6" x14ac:dyDescent="0.3">
      <c r="A690" t="s">
        <v>694</v>
      </c>
      <c r="B690">
        <v>174</v>
      </c>
      <c r="C690">
        <v>285</v>
      </c>
      <c r="D690">
        <v>150</v>
      </c>
      <c r="E690" s="1">
        <v>7786</v>
      </c>
      <c r="F690">
        <v>340</v>
      </c>
    </row>
    <row r="691" spans="1:6" x14ac:dyDescent="0.3">
      <c r="A691" t="s">
        <v>695</v>
      </c>
      <c r="B691">
        <v>113</v>
      </c>
      <c r="C691">
        <v>208</v>
      </c>
      <c r="D691">
        <v>159</v>
      </c>
      <c r="E691" s="1">
        <v>7885</v>
      </c>
      <c r="F691">
        <v>291</v>
      </c>
    </row>
    <row r="692" spans="1:6" x14ac:dyDescent="0.3">
      <c r="A692" t="s">
        <v>696</v>
      </c>
      <c r="B692">
        <v>88</v>
      </c>
      <c r="C692">
        <v>214</v>
      </c>
      <c r="D692">
        <v>160</v>
      </c>
      <c r="E692" s="1">
        <v>7859</v>
      </c>
      <c r="F692">
        <v>259</v>
      </c>
    </row>
    <row r="693" spans="1:6" x14ac:dyDescent="0.3">
      <c r="A693" t="s">
        <v>697</v>
      </c>
      <c r="B693">
        <v>130</v>
      </c>
      <c r="C693">
        <v>227</v>
      </c>
      <c r="D693">
        <v>192</v>
      </c>
      <c r="E693" s="1">
        <v>7870</v>
      </c>
      <c r="F693">
        <v>335</v>
      </c>
    </row>
    <row r="694" spans="1:6" x14ac:dyDescent="0.3">
      <c r="A694" t="s">
        <v>698</v>
      </c>
      <c r="B694">
        <v>84</v>
      </c>
      <c r="C694">
        <v>158</v>
      </c>
      <c r="D694">
        <v>193</v>
      </c>
      <c r="E694" s="1">
        <v>7930</v>
      </c>
      <c r="F694">
        <v>307</v>
      </c>
    </row>
    <row r="695" spans="1:6" x14ac:dyDescent="0.3">
      <c r="A695" t="s">
        <v>699</v>
      </c>
      <c r="B695">
        <v>115</v>
      </c>
      <c r="C695">
        <v>216</v>
      </c>
      <c r="D695">
        <v>169</v>
      </c>
      <c r="E695" s="1">
        <v>7896</v>
      </c>
      <c r="F695">
        <v>200</v>
      </c>
    </row>
    <row r="696" spans="1:6" x14ac:dyDescent="0.3">
      <c r="A696" t="s">
        <v>700</v>
      </c>
      <c r="B696">
        <v>167</v>
      </c>
      <c r="C696">
        <v>239</v>
      </c>
      <c r="D696">
        <v>166</v>
      </c>
      <c r="E696" s="1">
        <v>7800</v>
      </c>
      <c r="F696">
        <v>248</v>
      </c>
    </row>
    <row r="697" spans="1:6" x14ac:dyDescent="0.3">
      <c r="A697" t="s">
        <v>701</v>
      </c>
      <c r="B697">
        <v>99</v>
      </c>
      <c r="C697">
        <v>190</v>
      </c>
      <c r="D697">
        <v>176</v>
      </c>
      <c r="E697" s="1">
        <v>7609</v>
      </c>
      <c r="F697">
        <v>323</v>
      </c>
    </row>
    <row r="698" spans="1:6" x14ac:dyDescent="0.3">
      <c r="A698" t="s">
        <v>702</v>
      </c>
      <c r="B698">
        <v>101</v>
      </c>
      <c r="C698">
        <v>162</v>
      </c>
      <c r="D698">
        <v>178</v>
      </c>
      <c r="E698" s="1">
        <v>7914</v>
      </c>
      <c r="F698">
        <v>386</v>
      </c>
    </row>
    <row r="699" spans="1:6" x14ac:dyDescent="0.3">
      <c r="A699" t="s">
        <v>703</v>
      </c>
      <c r="B699">
        <v>107</v>
      </c>
      <c r="C699">
        <v>215</v>
      </c>
      <c r="D699">
        <v>230</v>
      </c>
      <c r="E699" s="1">
        <v>7978</v>
      </c>
      <c r="F699">
        <v>232</v>
      </c>
    </row>
    <row r="700" spans="1:6" x14ac:dyDescent="0.3">
      <c r="A700" t="s">
        <v>704</v>
      </c>
      <c r="B700">
        <v>184</v>
      </c>
      <c r="C700">
        <v>314</v>
      </c>
      <c r="D700">
        <v>217</v>
      </c>
      <c r="E700" s="1">
        <v>7967</v>
      </c>
      <c r="F700">
        <v>213</v>
      </c>
    </row>
    <row r="701" spans="1:6" x14ac:dyDescent="0.3">
      <c r="A701" t="s">
        <v>705</v>
      </c>
      <c r="B701">
        <v>209</v>
      </c>
      <c r="C701">
        <v>285</v>
      </c>
      <c r="D701">
        <v>184</v>
      </c>
      <c r="E701" s="1">
        <v>7817</v>
      </c>
      <c r="F701">
        <v>209</v>
      </c>
    </row>
    <row r="702" spans="1:6" x14ac:dyDescent="0.3">
      <c r="A702" t="s">
        <v>706</v>
      </c>
      <c r="B702">
        <v>81</v>
      </c>
      <c r="C702">
        <v>213</v>
      </c>
      <c r="D702">
        <v>153</v>
      </c>
      <c r="E702" s="1">
        <v>7793</v>
      </c>
      <c r="F702">
        <v>361</v>
      </c>
    </row>
    <row r="703" spans="1:6" x14ac:dyDescent="0.3">
      <c r="A703" t="s">
        <v>707</v>
      </c>
      <c r="B703">
        <v>91</v>
      </c>
      <c r="C703">
        <v>199</v>
      </c>
      <c r="D703">
        <v>172</v>
      </c>
      <c r="E703" s="1">
        <v>7869</v>
      </c>
      <c r="F703">
        <v>290</v>
      </c>
    </row>
    <row r="704" spans="1:6" x14ac:dyDescent="0.3">
      <c r="A704" t="s">
        <v>708</v>
      </c>
      <c r="B704">
        <v>154</v>
      </c>
      <c r="C704">
        <v>225</v>
      </c>
      <c r="D704">
        <v>220</v>
      </c>
      <c r="E704" s="1">
        <v>7794</v>
      </c>
      <c r="F704">
        <v>223</v>
      </c>
    </row>
    <row r="705" spans="1:6" x14ac:dyDescent="0.3">
      <c r="A705" t="s">
        <v>709</v>
      </c>
      <c r="B705">
        <v>186</v>
      </c>
      <c r="C705">
        <v>259</v>
      </c>
      <c r="D705">
        <v>172</v>
      </c>
      <c r="E705" s="1">
        <v>7483</v>
      </c>
      <c r="F705">
        <v>244</v>
      </c>
    </row>
    <row r="706" spans="1:6" x14ac:dyDescent="0.3">
      <c r="A706" t="s">
        <v>710</v>
      </c>
      <c r="B706">
        <v>92</v>
      </c>
      <c r="C706">
        <v>203</v>
      </c>
      <c r="D706">
        <v>173</v>
      </c>
      <c r="E706" s="1">
        <v>7434</v>
      </c>
      <c r="F706">
        <v>317</v>
      </c>
    </row>
    <row r="707" spans="1:6" x14ac:dyDescent="0.3">
      <c r="A707" t="s">
        <v>711</v>
      </c>
      <c r="B707">
        <v>124</v>
      </c>
      <c r="C707">
        <v>234</v>
      </c>
      <c r="D707">
        <v>161</v>
      </c>
      <c r="E707" s="1">
        <v>7908</v>
      </c>
      <c r="F707">
        <v>353</v>
      </c>
    </row>
    <row r="708" spans="1:6" x14ac:dyDescent="0.3">
      <c r="A708" t="s">
        <v>712</v>
      </c>
      <c r="B708">
        <v>93</v>
      </c>
      <c r="C708">
        <v>196</v>
      </c>
      <c r="D708">
        <v>169</v>
      </c>
      <c r="E708" s="1">
        <v>7915</v>
      </c>
      <c r="F708">
        <v>317</v>
      </c>
    </row>
    <row r="709" spans="1:6" x14ac:dyDescent="0.3">
      <c r="A709" t="s">
        <v>713</v>
      </c>
      <c r="B709">
        <v>16</v>
      </c>
      <c r="C709">
        <v>20</v>
      </c>
      <c r="D709">
        <v>20</v>
      </c>
      <c r="E709" s="1">
        <v>7855</v>
      </c>
      <c r="F709">
        <v>200</v>
      </c>
    </row>
    <row r="710" spans="1:6" x14ac:dyDescent="0.3">
      <c r="A710" t="s">
        <v>714</v>
      </c>
      <c r="B710">
        <v>11</v>
      </c>
      <c r="C710">
        <v>22</v>
      </c>
      <c r="D710">
        <v>12</v>
      </c>
      <c r="E710" s="1">
        <v>7720</v>
      </c>
      <c r="F710">
        <v>196</v>
      </c>
    </row>
    <row r="711" spans="1:6" x14ac:dyDescent="0.3">
      <c r="A711" t="s">
        <v>715</v>
      </c>
      <c r="B711">
        <v>16</v>
      </c>
      <c r="C711">
        <v>18</v>
      </c>
      <c r="D711">
        <v>15</v>
      </c>
      <c r="E711" s="1">
        <v>7586</v>
      </c>
      <c r="F711">
        <v>342</v>
      </c>
    </row>
    <row r="712" spans="1:6" x14ac:dyDescent="0.3">
      <c r="A712" t="s">
        <v>716</v>
      </c>
      <c r="B712">
        <v>15</v>
      </c>
      <c r="C712">
        <v>13</v>
      </c>
      <c r="D712">
        <v>23</v>
      </c>
      <c r="E712" s="1">
        <v>7879</v>
      </c>
      <c r="F712">
        <v>298</v>
      </c>
    </row>
    <row r="713" spans="1:6" x14ac:dyDescent="0.3">
      <c r="A713" t="s">
        <v>717</v>
      </c>
      <c r="B713">
        <v>25</v>
      </c>
      <c r="C713">
        <v>32</v>
      </c>
      <c r="D713">
        <v>27</v>
      </c>
      <c r="E713" s="1">
        <v>7903</v>
      </c>
      <c r="F713">
        <v>231</v>
      </c>
    </row>
    <row r="714" spans="1:6" x14ac:dyDescent="0.3">
      <c r="A714" t="s">
        <v>718</v>
      </c>
      <c r="B714">
        <v>26</v>
      </c>
      <c r="C714">
        <v>36</v>
      </c>
      <c r="D714">
        <v>36</v>
      </c>
      <c r="E714" s="1">
        <v>7803</v>
      </c>
      <c r="F714">
        <v>158</v>
      </c>
    </row>
    <row r="715" spans="1:6" x14ac:dyDescent="0.3">
      <c r="A715" t="s">
        <v>719</v>
      </c>
      <c r="B715">
        <v>34</v>
      </c>
      <c r="C715">
        <v>54</v>
      </c>
      <c r="D715">
        <v>29</v>
      </c>
      <c r="E715" s="1">
        <v>7743</v>
      </c>
      <c r="F715">
        <v>196</v>
      </c>
    </row>
    <row r="716" spans="1:6" x14ac:dyDescent="0.3">
      <c r="A716" t="s">
        <v>720</v>
      </c>
      <c r="B716">
        <v>23</v>
      </c>
      <c r="C716">
        <v>45</v>
      </c>
      <c r="D716">
        <v>11</v>
      </c>
      <c r="E716" s="1">
        <v>7472</v>
      </c>
      <c r="F716">
        <v>303</v>
      </c>
    </row>
    <row r="717" spans="1:6" x14ac:dyDescent="0.3">
      <c r="A717" t="s">
        <v>721</v>
      </c>
      <c r="B717">
        <v>20</v>
      </c>
      <c r="C717">
        <v>22</v>
      </c>
      <c r="D717">
        <v>41</v>
      </c>
      <c r="E717" s="1">
        <v>7538</v>
      </c>
      <c r="F717">
        <v>180</v>
      </c>
    </row>
    <row r="718" spans="1:6" x14ac:dyDescent="0.3">
      <c r="A718" t="s">
        <v>722</v>
      </c>
      <c r="B718">
        <v>47</v>
      </c>
      <c r="C718">
        <v>42</v>
      </c>
      <c r="D718">
        <v>47</v>
      </c>
      <c r="E718" s="1">
        <v>7433</v>
      </c>
      <c r="F718">
        <v>175</v>
      </c>
    </row>
    <row r="719" spans="1:6" x14ac:dyDescent="0.3">
      <c r="A719" t="s">
        <v>723</v>
      </c>
      <c r="B719">
        <v>32</v>
      </c>
      <c r="C719">
        <v>50</v>
      </c>
      <c r="D719">
        <v>39</v>
      </c>
      <c r="E719" s="1">
        <v>7280</v>
      </c>
      <c r="F719">
        <v>181</v>
      </c>
    </row>
    <row r="720" spans="1:6" x14ac:dyDescent="0.3">
      <c r="A720" t="s">
        <v>724</v>
      </c>
      <c r="B720">
        <v>32</v>
      </c>
      <c r="C720">
        <v>49</v>
      </c>
      <c r="D720">
        <v>39</v>
      </c>
      <c r="E720" s="1">
        <v>7122</v>
      </c>
      <c r="F720">
        <v>227</v>
      </c>
    </row>
    <row r="721" spans="1:6" x14ac:dyDescent="0.3">
      <c r="A721" t="s">
        <v>725</v>
      </c>
      <c r="B721">
        <v>33</v>
      </c>
      <c r="C721">
        <v>53</v>
      </c>
      <c r="D721">
        <v>34</v>
      </c>
      <c r="E721" s="1">
        <v>6566</v>
      </c>
      <c r="F721">
        <v>436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8D2B8-628E-4FBB-8DB4-CCD590E737B4}">
  <dimension ref="A1:K721"/>
  <sheetViews>
    <sheetView workbookViewId="0">
      <selection activeCell="C14" sqref="C14"/>
    </sheetView>
  </sheetViews>
  <sheetFormatPr defaultRowHeight="14.4" x14ac:dyDescent="0.3"/>
  <cols>
    <col min="1" max="1" width="17.33203125" style="2" bestFit="1" customWidth="1"/>
    <col min="2" max="2" width="20.77734375" style="11" bestFit="1" customWidth="1"/>
    <col min="3" max="3" width="13.88671875" bestFit="1" customWidth="1"/>
    <col min="4" max="4" width="27.5546875" bestFit="1" customWidth="1"/>
    <col min="5" max="5" width="14" bestFit="1" customWidth="1"/>
    <col min="6" max="6" width="26.44140625" bestFit="1" customWidth="1"/>
    <col min="7" max="7" width="12" bestFit="1" customWidth="1"/>
    <col min="8" max="10" width="17.33203125" bestFit="1" customWidth="1"/>
    <col min="11" max="11" width="10.33203125" bestFit="1" customWidth="1"/>
  </cols>
  <sheetData>
    <row r="1" spans="1:7" s="5" customFormat="1" ht="28.8" x14ac:dyDescent="0.3">
      <c r="A1" s="12" t="s">
        <v>0</v>
      </c>
      <c r="B1" s="13" t="s">
        <v>726</v>
      </c>
      <c r="C1" s="14" t="s">
        <v>2</v>
      </c>
      <c r="D1" s="14" t="s">
        <v>3</v>
      </c>
      <c r="E1" s="14" t="s">
        <v>4</v>
      </c>
      <c r="F1" s="14" t="s">
        <v>5</v>
      </c>
    </row>
    <row r="2" spans="1:7" x14ac:dyDescent="0.3">
      <c r="A2" s="15">
        <v>46012</v>
      </c>
      <c r="B2" s="16">
        <v>6</v>
      </c>
      <c r="C2" s="6">
        <v>18</v>
      </c>
      <c r="D2" s="6">
        <v>11</v>
      </c>
      <c r="E2" s="6">
        <v>2484</v>
      </c>
      <c r="F2" s="6">
        <v>14</v>
      </c>
      <c r="G2" s="2"/>
    </row>
    <row r="3" spans="1:7" x14ac:dyDescent="0.3">
      <c r="A3" s="15">
        <v>46009</v>
      </c>
      <c r="B3" s="16">
        <v>11</v>
      </c>
      <c r="C3" s="6">
        <v>50</v>
      </c>
      <c r="D3" s="6">
        <v>6</v>
      </c>
      <c r="E3" s="6">
        <v>2472</v>
      </c>
      <c r="F3" s="6">
        <v>16</v>
      </c>
      <c r="G3" s="2"/>
    </row>
    <row r="4" spans="1:7" x14ac:dyDescent="0.3">
      <c r="A4" s="15">
        <v>46008</v>
      </c>
      <c r="B4" s="16">
        <v>7</v>
      </c>
      <c r="C4" s="6">
        <v>31</v>
      </c>
      <c r="D4" s="6">
        <v>11</v>
      </c>
      <c r="E4" s="6">
        <v>2481</v>
      </c>
      <c r="F4" s="6">
        <v>10</v>
      </c>
      <c r="G4" s="2"/>
    </row>
    <row r="5" spans="1:7" x14ac:dyDescent="0.3">
      <c r="A5" s="15">
        <v>46007</v>
      </c>
      <c r="B5" s="16">
        <v>8</v>
      </c>
      <c r="C5" s="6">
        <v>54</v>
      </c>
      <c r="D5" s="6">
        <v>15</v>
      </c>
      <c r="E5" s="6">
        <v>2468</v>
      </c>
      <c r="F5" s="6">
        <v>9</v>
      </c>
      <c r="G5" s="2"/>
    </row>
    <row r="6" spans="1:7" x14ac:dyDescent="0.3">
      <c r="A6" s="15">
        <v>46006</v>
      </c>
      <c r="B6" s="16">
        <v>11</v>
      </c>
      <c r="C6" s="6">
        <v>42</v>
      </c>
      <c r="D6" s="6">
        <v>9</v>
      </c>
      <c r="E6" s="6">
        <v>2470</v>
      </c>
      <c r="F6" s="6">
        <v>7</v>
      </c>
      <c r="G6" s="2"/>
    </row>
    <row r="7" spans="1:7" x14ac:dyDescent="0.3">
      <c r="A7" s="15">
        <v>46005</v>
      </c>
      <c r="B7" s="16">
        <v>8</v>
      </c>
      <c r="C7" s="6">
        <v>35</v>
      </c>
      <c r="D7" s="6">
        <v>4</v>
      </c>
      <c r="E7" s="6">
        <v>2462</v>
      </c>
      <c r="F7" s="6">
        <v>8</v>
      </c>
      <c r="G7" s="2"/>
    </row>
    <row r="8" spans="1:7" x14ac:dyDescent="0.3">
      <c r="A8" s="15">
        <v>46002</v>
      </c>
      <c r="B8" s="16">
        <v>7</v>
      </c>
      <c r="C8" s="6">
        <v>47</v>
      </c>
      <c r="D8" s="6">
        <v>9</v>
      </c>
      <c r="E8" s="6">
        <v>2437</v>
      </c>
      <c r="F8" s="6">
        <v>10</v>
      </c>
      <c r="G8" s="2"/>
    </row>
    <row r="9" spans="1:7" x14ac:dyDescent="0.3">
      <c r="A9" s="15">
        <v>46001</v>
      </c>
      <c r="B9" s="16">
        <v>10</v>
      </c>
      <c r="C9" s="6">
        <v>54</v>
      </c>
      <c r="D9" s="6">
        <v>5</v>
      </c>
      <c r="E9" s="6">
        <v>2439</v>
      </c>
      <c r="F9" s="6">
        <v>9</v>
      </c>
      <c r="G9" s="2"/>
    </row>
    <row r="10" spans="1:7" x14ac:dyDescent="0.3">
      <c r="A10" s="15">
        <v>46000</v>
      </c>
      <c r="B10" s="16">
        <v>4</v>
      </c>
      <c r="C10" s="6">
        <v>30</v>
      </c>
      <c r="D10" s="6">
        <v>7</v>
      </c>
      <c r="E10" s="6">
        <v>2443</v>
      </c>
      <c r="F10" s="6">
        <v>8</v>
      </c>
      <c r="G10" s="2"/>
    </row>
    <row r="11" spans="1:7" x14ac:dyDescent="0.3">
      <c r="A11" s="15">
        <v>45999</v>
      </c>
      <c r="B11" s="16">
        <v>9</v>
      </c>
      <c r="C11" s="6">
        <v>27</v>
      </c>
      <c r="D11" s="6">
        <v>9</v>
      </c>
      <c r="E11" s="6">
        <v>2440</v>
      </c>
      <c r="F11" s="6">
        <v>4</v>
      </c>
      <c r="G11" s="2"/>
    </row>
    <row r="12" spans="1:7" x14ac:dyDescent="0.3">
      <c r="A12" s="15">
        <v>45998</v>
      </c>
      <c r="B12" s="16">
        <v>4</v>
      </c>
      <c r="C12" s="6">
        <v>24</v>
      </c>
      <c r="D12" s="6">
        <v>13</v>
      </c>
      <c r="E12" s="6">
        <v>2429</v>
      </c>
      <c r="F12" s="6">
        <v>12</v>
      </c>
      <c r="G12" s="2"/>
    </row>
    <row r="13" spans="1:7" x14ac:dyDescent="0.3">
      <c r="A13" s="15">
        <v>45995</v>
      </c>
      <c r="B13" s="16">
        <v>16</v>
      </c>
      <c r="C13" s="6">
        <v>39</v>
      </c>
      <c r="D13" s="6">
        <v>7</v>
      </c>
      <c r="E13" s="6">
        <v>2418</v>
      </c>
      <c r="F13" s="6">
        <v>13</v>
      </c>
      <c r="G13" s="2"/>
    </row>
    <row r="14" spans="1:7" x14ac:dyDescent="0.3">
      <c r="A14" s="15">
        <v>45994</v>
      </c>
      <c r="B14" s="16">
        <v>4</v>
      </c>
      <c r="C14" s="6">
        <v>32</v>
      </c>
      <c r="D14" s="6">
        <v>8</v>
      </c>
      <c r="E14" s="6">
        <v>2419</v>
      </c>
      <c r="F14" s="6">
        <v>7</v>
      </c>
      <c r="G14" s="2"/>
    </row>
    <row r="15" spans="1:7" x14ac:dyDescent="0.3">
      <c r="A15" s="15">
        <v>45993</v>
      </c>
      <c r="B15" s="16">
        <v>7</v>
      </c>
      <c r="C15" s="6">
        <v>34</v>
      </c>
      <c r="D15" s="6">
        <v>6</v>
      </c>
      <c r="E15" s="6">
        <v>2407</v>
      </c>
      <c r="F15" s="6">
        <v>8</v>
      </c>
      <c r="G15" s="2"/>
    </row>
    <row r="16" spans="1:7" x14ac:dyDescent="0.3">
      <c r="A16" s="15">
        <v>45992</v>
      </c>
      <c r="B16" s="16">
        <v>4</v>
      </c>
      <c r="C16" s="6">
        <v>26</v>
      </c>
      <c r="D16" s="6">
        <v>4</v>
      </c>
      <c r="E16" s="6">
        <v>2410</v>
      </c>
      <c r="F16" s="6">
        <v>9</v>
      </c>
      <c r="G16" s="2"/>
    </row>
    <row r="17" spans="1:7" x14ac:dyDescent="0.3">
      <c r="A17" s="15">
        <v>45991</v>
      </c>
      <c r="B17" s="16">
        <v>4</v>
      </c>
      <c r="C17" s="6">
        <v>18</v>
      </c>
      <c r="D17" s="6">
        <v>10</v>
      </c>
      <c r="E17" s="6">
        <v>2415</v>
      </c>
      <c r="F17" s="6">
        <v>0</v>
      </c>
      <c r="G17" s="2"/>
    </row>
    <row r="18" spans="1:7" x14ac:dyDescent="0.3">
      <c r="A18" s="15">
        <v>45988</v>
      </c>
      <c r="B18" s="16">
        <v>4</v>
      </c>
      <c r="C18" s="6">
        <v>24</v>
      </c>
      <c r="D18" s="6">
        <v>8</v>
      </c>
      <c r="E18" s="6">
        <v>2389</v>
      </c>
      <c r="F18" s="6">
        <v>7</v>
      </c>
      <c r="G18" s="2"/>
    </row>
    <row r="19" spans="1:7" x14ac:dyDescent="0.3">
      <c r="A19" s="15">
        <v>45986</v>
      </c>
      <c r="B19" s="16">
        <v>6</v>
      </c>
      <c r="C19" s="6">
        <v>47</v>
      </c>
      <c r="D19" s="6">
        <v>14</v>
      </c>
      <c r="E19" s="6">
        <v>2375</v>
      </c>
      <c r="F19" s="6">
        <v>11</v>
      </c>
      <c r="G19" s="2"/>
    </row>
    <row r="20" spans="1:7" x14ac:dyDescent="0.3">
      <c r="A20" s="15">
        <v>45985</v>
      </c>
      <c r="B20" s="16">
        <v>9</v>
      </c>
      <c r="C20" s="6">
        <v>40</v>
      </c>
      <c r="D20" s="6">
        <v>9</v>
      </c>
      <c r="E20" s="6">
        <v>2371</v>
      </c>
      <c r="F20" s="6">
        <v>13</v>
      </c>
      <c r="G20" s="2"/>
    </row>
    <row r="21" spans="1:7" x14ac:dyDescent="0.3">
      <c r="A21" s="15">
        <v>45984</v>
      </c>
      <c r="B21" s="16">
        <v>3</v>
      </c>
      <c r="C21" s="6">
        <v>46</v>
      </c>
      <c r="D21" s="6">
        <v>22</v>
      </c>
      <c r="E21" s="6">
        <v>2375</v>
      </c>
      <c r="F21" s="6">
        <v>1</v>
      </c>
      <c r="G21" s="2"/>
    </row>
    <row r="22" spans="1:7" x14ac:dyDescent="0.3">
      <c r="A22" s="15">
        <v>45981</v>
      </c>
      <c r="B22" s="16">
        <v>18</v>
      </c>
      <c r="C22" s="6">
        <v>57</v>
      </c>
      <c r="D22" s="6">
        <v>8</v>
      </c>
      <c r="E22" s="6">
        <v>2340</v>
      </c>
      <c r="F22" s="6">
        <v>9</v>
      </c>
      <c r="G22" s="2"/>
    </row>
    <row r="23" spans="1:7" x14ac:dyDescent="0.3">
      <c r="A23" s="15">
        <v>45980</v>
      </c>
      <c r="B23" s="16">
        <v>7</v>
      </c>
      <c r="C23" s="6">
        <v>32</v>
      </c>
      <c r="D23" s="6">
        <v>3</v>
      </c>
      <c r="E23" s="6">
        <v>2340</v>
      </c>
      <c r="F23" s="6">
        <v>10</v>
      </c>
      <c r="G23" s="2"/>
    </row>
    <row r="24" spans="1:7" x14ac:dyDescent="0.3">
      <c r="A24" s="15">
        <v>45979</v>
      </c>
      <c r="B24" s="16">
        <v>2</v>
      </c>
      <c r="C24" s="6">
        <v>38</v>
      </c>
      <c r="D24" s="6">
        <v>8</v>
      </c>
      <c r="E24" s="6">
        <v>2345</v>
      </c>
      <c r="F24" s="6">
        <v>12</v>
      </c>
      <c r="G24" s="2"/>
    </row>
    <row r="25" spans="1:7" x14ac:dyDescent="0.3">
      <c r="A25" s="15">
        <v>45978</v>
      </c>
      <c r="B25" s="16">
        <v>1</v>
      </c>
      <c r="C25" s="6">
        <v>35</v>
      </c>
      <c r="D25" s="6">
        <v>6</v>
      </c>
      <c r="E25" s="6">
        <v>2343</v>
      </c>
      <c r="F25" s="6">
        <v>8</v>
      </c>
      <c r="G25" s="2"/>
    </row>
    <row r="26" spans="1:7" x14ac:dyDescent="0.3">
      <c r="A26" s="15">
        <v>45977</v>
      </c>
      <c r="B26" s="16">
        <v>5</v>
      </c>
      <c r="C26" s="6">
        <v>22</v>
      </c>
      <c r="D26" s="6">
        <v>3</v>
      </c>
      <c r="E26" s="6">
        <v>2340</v>
      </c>
      <c r="F26" s="6">
        <v>5</v>
      </c>
      <c r="G26" s="2"/>
    </row>
    <row r="27" spans="1:7" x14ac:dyDescent="0.3">
      <c r="A27" s="15">
        <v>45974</v>
      </c>
      <c r="B27" s="16">
        <v>6</v>
      </c>
      <c r="C27" s="6">
        <v>26</v>
      </c>
      <c r="D27" s="6">
        <v>16</v>
      </c>
      <c r="E27" s="6">
        <v>2317</v>
      </c>
      <c r="F27" s="6">
        <v>5</v>
      </c>
      <c r="G27" s="2"/>
    </row>
    <row r="28" spans="1:7" x14ac:dyDescent="0.3">
      <c r="A28" s="15">
        <v>45973</v>
      </c>
      <c r="B28" s="16">
        <v>14</v>
      </c>
      <c r="C28" s="6">
        <v>48</v>
      </c>
      <c r="D28" s="6">
        <v>20</v>
      </c>
      <c r="E28" s="6">
        <v>2302</v>
      </c>
      <c r="F28" s="6">
        <v>7</v>
      </c>
      <c r="G28" s="2"/>
    </row>
    <row r="29" spans="1:7" x14ac:dyDescent="0.3">
      <c r="A29" s="15">
        <v>45972</v>
      </c>
      <c r="B29" s="16">
        <v>11</v>
      </c>
      <c r="C29" s="6">
        <v>39</v>
      </c>
      <c r="D29" s="6">
        <v>12</v>
      </c>
      <c r="E29" s="6">
        <v>2294</v>
      </c>
      <c r="F29" s="6">
        <v>14</v>
      </c>
      <c r="G29" s="2"/>
    </row>
    <row r="30" spans="1:7" x14ac:dyDescent="0.3">
      <c r="A30" s="15">
        <v>45970</v>
      </c>
      <c r="B30" s="16">
        <v>11</v>
      </c>
      <c r="C30" s="6">
        <v>33</v>
      </c>
      <c r="D30" s="6">
        <v>5</v>
      </c>
      <c r="E30" s="6">
        <v>2294</v>
      </c>
      <c r="F30" s="6">
        <v>4</v>
      </c>
      <c r="G30" s="2"/>
    </row>
    <row r="31" spans="1:7" x14ac:dyDescent="0.3">
      <c r="A31" s="15">
        <v>45967</v>
      </c>
      <c r="B31" s="16">
        <v>6</v>
      </c>
      <c r="C31" s="6">
        <v>33</v>
      </c>
      <c r="D31" s="6">
        <v>9</v>
      </c>
      <c r="E31" s="6">
        <v>2264</v>
      </c>
      <c r="F31" s="6">
        <v>19</v>
      </c>
      <c r="G31" s="2"/>
    </row>
    <row r="32" spans="1:7" x14ac:dyDescent="0.3">
      <c r="A32" s="15">
        <v>45966</v>
      </c>
      <c r="B32" s="16">
        <v>8</v>
      </c>
      <c r="C32" s="6">
        <v>41</v>
      </c>
      <c r="D32" s="6">
        <v>8</v>
      </c>
      <c r="E32" s="6">
        <v>2272</v>
      </c>
      <c r="F32" s="6">
        <v>7</v>
      </c>
      <c r="G32" s="2"/>
    </row>
    <row r="33" spans="1:7" x14ac:dyDescent="0.3">
      <c r="A33" s="15">
        <v>45965</v>
      </c>
      <c r="B33" s="16">
        <v>6</v>
      </c>
      <c r="C33" s="6">
        <v>33</v>
      </c>
      <c r="D33" s="6">
        <v>6</v>
      </c>
      <c r="E33" s="6">
        <v>2270</v>
      </c>
      <c r="F33" s="6">
        <v>8</v>
      </c>
      <c r="G33" s="2"/>
    </row>
    <row r="34" spans="1:7" x14ac:dyDescent="0.3">
      <c r="A34" s="15">
        <v>45964</v>
      </c>
      <c r="B34" s="16">
        <v>3</v>
      </c>
      <c r="C34" s="6">
        <v>28</v>
      </c>
      <c r="D34" s="6">
        <v>5</v>
      </c>
      <c r="E34" s="6">
        <v>2269</v>
      </c>
      <c r="F34" s="6">
        <v>12</v>
      </c>
      <c r="G34" s="2"/>
    </row>
    <row r="35" spans="1:7" x14ac:dyDescent="0.3">
      <c r="A35" s="15">
        <v>45963</v>
      </c>
      <c r="B35" s="16">
        <v>5</v>
      </c>
      <c r="C35" s="6">
        <v>21</v>
      </c>
      <c r="D35" s="6">
        <v>10</v>
      </c>
      <c r="E35" s="6">
        <v>2277</v>
      </c>
      <c r="F35" s="6">
        <v>7</v>
      </c>
      <c r="G35" s="2"/>
    </row>
    <row r="36" spans="1:7" x14ac:dyDescent="0.3">
      <c r="A36" s="15">
        <v>45960</v>
      </c>
      <c r="B36" s="16">
        <v>3</v>
      </c>
      <c r="C36" s="6">
        <v>17</v>
      </c>
      <c r="D36" s="6">
        <v>14</v>
      </c>
      <c r="E36" s="6">
        <v>2287</v>
      </c>
      <c r="F36" s="6">
        <v>12</v>
      </c>
      <c r="G36" s="2"/>
    </row>
    <row r="37" spans="1:7" x14ac:dyDescent="0.3">
      <c r="A37" s="15">
        <v>45959</v>
      </c>
      <c r="B37" s="16">
        <v>6</v>
      </c>
      <c r="C37" s="6">
        <v>25</v>
      </c>
      <c r="D37" s="6">
        <v>4</v>
      </c>
      <c r="E37" s="6">
        <v>2280</v>
      </c>
      <c r="F37" s="6">
        <v>17</v>
      </c>
      <c r="G37" s="2"/>
    </row>
    <row r="38" spans="1:7" x14ac:dyDescent="0.3">
      <c r="A38" s="15">
        <v>45958</v>
      </c>
      <c r="B38" s="16">
        <v>6</v>
      </c>
      <c r="C38" s="6">
        <v>22</v>
      </c>
      <c r="D38" s="6">
        <v>11</v>
      </c>
      <c r="E38" s="6">
        <v>2286</v>
      </c>
      <c r="F38" s="6">
        <v>6</v>
      </c>
      <c r="G38" s="2"/>
    </row>
    <row r="39" spans="1:7" x14ac:dyDescent="0.3">
      <c r="A39" s="15">
        <v>45957</v>
      </c>
      <c r="B39" s="16">
        <v>2</v>
      </c>
      <c r="C39" s="6">
        <v>31</v>
      </c>
      <c r="D39" s="6">
        <v>8</v>
      </c>
      <c r="E39" s="6">
        <v>2282</v>
      </c>
      <c r="F39" s="6">
        <v>11</v>
      </c>
      <c r="G39" s="2"/>
    </row>
    <row r="40" spans="1:7" x14ac:dyDescent="0.3">
      <c r="A40" s="15">
        <v>45956</v>
      </c>
      <c r="B40" s="16">
        <v>4</v>
      </c>
      <c r="C40" s="6">
        <v>35</v>
      </c>
      <c r="D40" s="6">
        <v>12</v>
      </c>
      <c r="E40" s="6">
        <v>2276</v>
      </c>
      <c r="F40" s="6">
        <v>10</v>
      </c>
      <c r="G40" s="2"/>
    </row>
    <row r="41" spans="1:7" x14ac:dyDescent="0.3">
      <c r="A41" s="15">
        <v>45953</v>
      </c>
      <c r="B41" s="16">
        <v>4</v>
      </c>
      <c r="C41" s="6">
        <v>27</v>
      </c>
      <c r="D41" s="6">
        <v>26</v>
      </c>
      <c r="E41" s="6">
        <v>2266</v>
      </c>
      <c r="F41" s="6">
        <v>18</v>
      </c>
      <c r="G41" s="2"/>
    </row>
    <row r="42" spans="1:7" x14ac:dyDescent="0.3">
      <c r="A42" s="15">
        <v>45952</v>
      </c>
      <c r="B42" s="16">
        <v>12</v>
      </c>
      <c r="C42" s="6">
        <v>42</v>
      </c>
      <c r="D42" s="6">
        <v>13</v>
      </c>
      <c r="E42" s="6">
        <v>2261</v>
      </c>
      <c r="F42" s="6">
        <v>12</v>
      </c>
      <c r="G42" s="2"/>
    </row>
    <row r="43" spans="1:7" x14ac:dyDescent="0.3">
      <c r="A43" s="15">
        <v>45951</v>
      </c>
      <c r="B43" s="16">
        <v>13</v>
      </c>
      <c r="C43" s="6">
        <v>39</v>
      </c>
      <c r="D43" s="6">
        <v>17</v>
      </c>
      <c r="E43" s="6">
        <v>2251</v>
      </c>
      <c r="F43" s="6">
        <v>9</v>
      </c>
      <c r="G43" s="2"/>
    </row>
    <row r="44" spans="1:7" x14ac:dyDescent="0.3">
      <c r="A44" s="15">
        <v>45950</v>
      </c>
      <c r="B44" s="16">
        <v>10</v>
      </c>
      <c r="C44" s="6">
        <v>39</v>
      </c>
      <c r="D44" s="6">
        <v>6</v>
      </c>
      <c r="E44" s="6">
        <v>2243</v>
      </c>
      <c r="F44" s="6">
        <v>7</v>
      </c>
      <c r="G44" s="2"/>
    </row>
    <row r="45" spans="1:7" x14ac:dyDescent="0.3">
      <c r="A45" s="15">
        <v>45949</v>
      </c>
      <c r="B45" s="16">
        <v>9</v>
      </c>
      <c r="C45" s="6">
        <v>34</v>
      </c>
      <c r="D45" s="6">
        <v>17</v>
      </c>
      <c r="E45" s="6">
        <v>2237</v>
      </c>
      <c r="F45" s="6">
        <v>7</v>
      </c>
      <c r="G45" s="2"/>
    </row>
    <row r="46" spans="1:7" x14ac:dyDescent="0.3">
      <c r="A46" s="15">
        <v>45946</v>
      </c>
      <c r="B46" s="16">
        <v>9</v>
      </c>
      <c r="C46" s="6">
        <v>33</v>
      </c>
      <c r="D46" s="6">
        <v>15</v>
      </c>
      <c r="E46" s="6">
        <v>2233</v>
      </c>
      <c r="F46" s="6">
        <v>9</v>
      </c>
      <c r="G46" s="2"/>
    </row>
    <row r="47" spans="1:7" x14ac:dyDescent="0.3">
      <c r="A47" s="15">
        <v>45945</v>
      </c>
      <c r="B47" s="16">
        <v>8</v>
      </c>
      <c r="C47" s="6">
        <v>29</v>
      </c>
      <c r="D47" s="6">
        <v>10</v>
      </c>
      <c r="E47" s="6">
        <v>2225</v>
      </c>
      <c r="F47" s="6">
        <v>15</v>
      </c>
      <c r="G47" s="2"/>
    </row>
    <row r="48" spans="1:7" x14ac:dyDescent="0.3">
      <c r="A48" s="15">
        <v>45944</v>
      </c>
      <c r="B48" s="16">
        <v>7</v>
      </c>
      <c r="C48" s="6">
        <v>30</v>
      </c>
      <c r="D48" s="6">
        <v>16</v>
      </c>
      <c r="E48" s="6">
        <v>2235</v>
      </c>
      <c r="F48" s="6">
        <v>8</v>
      </c>
      <c r="G48" s="2"/>
    </row>
    <row r="49" spans="1:9" x14ac:dyDescent="0.3">
      <c r="A49" s="15">
        <v>45943</v>
      </c>
      <c r="B49" s="16">
        <v>8</v>
      </c>
      <c r="C49" s="6">
        <v>24</v>
      </c>
      <c r="D49" s="6">
        <v>7</v>
      </c>
      <c r="E49" s="6">
        <v>2223</v>
      </c>
      <c r="F49" s="6">
        <v>6</v>
      </c>
      <c r="G49" s="2"/>
    </row>
    <row r="50" spans="1:9" x14ac:dyDescent="0.3">
      <c r="A50" s="15">
        <v>45939</v>
      </c>
      <c r="B50" s="16">
        <v>11</v>
      </c>
      <c r="C50" s="6">
        <v>55</v>
      </c>
      <c r="D50" s="6">
        <v>13</v>
      </c>
      <c r="E50" s="6">
        <v>2192</v>
      </c>
      <c r="F50" s="6">
        <v>12</v>
      </c>
      <c r="G50" s="2"/>
    </row>
    <row r="51" spans="1:9" x14ac:dyDescent="0.3">
      <c r="A51" s="15">
        <v>45938</v>
      </c>
      <c r="B51" s="16">
        <v>8</v>
      </c>
      <c r="C51" s="6">
        <v>49</v>
      </c>
      <c r="D51" s="6">
        <v>15</v>
      </c>
      <c r="E51" s="6">
        <v>2192</v>
      </c>
      <c r="F51" s="6">
        <v>17</v>
      </c>
      <c r="G51" s="2"/>
    </row>
    <row r="52" spans="1:9" x14ac:dyDescent="0.3">
      <c r="A52" s="15">
        <v>45937</v>
      </c>
      <c r="B52" s="16">
        <v>11</v>
      </c>
      <c r="C52" s="6">
        <v>45</v>
      </c>
      <c r="D52" s="6">
        <v>4</v>
      </c>
      <c r="E52" s="6">
        <v>2189</v>
      </c>
      <c r="F52" s="6">
        <v>10</v>
      </c>
      <c r="G52" s="2"/>
    </row>
    <row r="53" spans="1:9" x14ac:dyDescent="0.3">
      <c r="A53" s="15">
        <v>45936</v>
      </c>
      <c r="B53" s="16">
        <v>5</v>
      </c>
      <c r="C53" s="6">
        <v>33</v>
      </c>
      <c r="D53" s="6">
        <v>15</v>
      </c>
      <c r="E53" s="6">
        <v>2187</v>
      </c>
      <c r="F53" s="6">
        <v>10</v>
      </c>
      <c r="G53" s="2"/>
    </row>
    <row r="54" spans="1:9" x14ac:dyDescent="0.3">
      <c r="A54" s="15">
        <v>45935</v>
      </c>
      <c r="B54" s="16">
        <v>8</v>
      </c>
      <c r="C54" s="6">
        <v>28</v>
      </c>
      <c r="D54" s="6">
        <v>13</v>
      </c>
      <c r="E54" s="6">
        <v>2180</v>
      </c>
      <c r="F54" s="6">
        <v>16</v>
      </c>
      <c r="G54" s="2"/>
    </row>
    <row r="55" spans="1:9" x14ac:dyDescent="0.3">
      <c r="A55" s="15">
        <v>45932</v>
      </c>
      <c r="B55" s="16">
        <v>20</v>
      </c>
      <c r="C55" s="6">
        <v>51</v>
      </c>
      <c r="D55" s="6">
        <v>15</v>
      </c>
      <c r="E55" s="6">
        <v>2164</v>
      </c>
      <c r="F55" s="6">
        <v>16</v>
      </c>
      <c r="G55" s="2"/>
    </row>
    <row r="56" spans="1:9" x14ac:dyDescent="0.3">
      <c r="A56" s="15">
        <v>45931</v>
      </c>
      <c r="B56" s="16">
        <v>4</v>
      </c>
      <c r="C56" s="6">
        <v>33</v>
      </c>
      <c r="D56" s="6">
        <v>12</v>
      </c>
      <c r="E56" s="6">
        <v>2163</v>
      </c>
      <c r="F56" s="6">
        <v>14</v>
      </c>
      <c r="G56" s="2"/>
    </row>
    <row r="57" spans="1:9" x14ac:dyDescent="0.3">
      <c r="A57" s="15">
        <v>45807</v>
      </c>
      <c r="B57" s="17" t="s">
        <v>738</v>
      </c>
      <c r="C57" s="6">
        <v>2025</v>
      </c>
      <c r="D57" s="6">
        <v>12</v>
      </c>
      <c r="E57" s="6">
        <v>2159</v>
      </c>
      <c r="F57" s="6">
        <v>7</v>
      </c>
      <c r="G57" s="2"/>
      <c r="I57" s="2"/>
    </row>
    <row r="58" spans="1:9" x14ac:dyDescent="0.3">
      <c r="A58" s="15">
        <f>A57-1</f>
        <v>45806</v>
      </c>
      <c r="B58" s="17" t="s">
        <v>739</v>
      </c>
      <c r="C58" s="6">
        <v>2025</v>
      </c>
      <c r="D58" s="6">
        <v>12</v>
      </c>
      <c r="E58" s="6">
        <v>2148</v>
      </c>
      <c r="F58" s="6">
        <v>13</v>
      </c>
      <c r="G58" s="2"/>
      <c r="I58" s="2"/>
    </row>
    <row r="59" spans="1:9" x14ac:dyDescent="0.3">
      <c r="A59" s="15">
        <f>A58-1</f>
        <v>45805</v>
      </c>
      <c r="B59" s="17" t="s">
        <v>740</v>
      </c>
      <c r="C59" s="6">
        <v>2025</v>
      </c>
      <c r="D59" s="6">
        <v>12</v>
      </c>
      <c r="E59" s="6">
        <v>2146</v>
      </c>
      <c r="F59" s="6">
        <v>9</v>
      </c>
      <c r="G59" s="2"/>
      <c r="I59" s="2"/>
    </row>
    <row r="60" spans="1:9" x14ac:dyDescent="0.3">
      <c r="A60" s="15">
        <f>A59-3</f>
        <v>45802</v>
      </c>
      <c r="B60" s="17" t="s">
        <v>741</v>
      </c>
      <c r="C60" s="6">
        <v>2025</v>
      </c>
      <c r="D60" s="6">
        <v>12</v>
      </c>
      <c r="E60" s="6">
        <v>2132</v>
      </c>
      <c r="F60" s="6">
        <v>18</v>
      </c>
      <c r="G60" s="2"/>
      <c r="I60" s="2"/>
    </row>
    <row r="61" spans="1:9" x14ac:dyDescent="0.3">
      <c r="A61" s="15">
        <f>A60-1</f>
        <v>45801</v>
      </c>
      <c r="B61" s="17" t="s">
        <v>742</v>
      </c>
      <c r="C61" s="6">
        <v>2025</v>
      </c>
      <c r="D61" s="6">
        <v>12</v>
      </c>
      <c r="E61" s="6">
        <v>2138</v>
      </c>
      <c r="F61" s="6">
        <v>17</v>
      </c>
      <c r="G61" s="2"/>
      <c r="I61" s="2"/>
    </row>
    <row r="62" spans="1:9" x14ac:dyDescent="0.3">
      <c r="A62" s="15">
        <f t="shared" ref="A62:A64" si="0">A61-1</f>
        <v>45800</v>
      </c>
      <c r="B62" s="17" t="s">
        <v>743</v>
      </c>
      <c r="C62" s="6">
        <v>2025</v>
      </c>
      <c r="D62" s="6">
        <v>10</v>
      </c>
      <c r="E62" s="6">
        <v>2145</v>
      </c>
      <c r="F62" s="6">
        <v>15</v>
      </c>
      <c r="G62" s="2"/>
      <c r="I62" s="2"/>
    </row>
    <row r="63" spans="1:9" x14ac:dyDescent="0.3">
      <c r="A63" s="15">
        <f t="shared" si="0"/>
        <v>45799</v>
      </c>
      <c r="B63" s="17" t="s">
        <v>744</v>
      </c>
      <c r="C63" s="6">
        <v>2025</v>
      </c>
      <c r="D63" s="6">
        <v>14</v>
      </c>
      <c r="E63" s="6">
        <v>2141</v>
      </c>
      <c r="F63" s="6">
        <v>10</v>
      </c>
      <c r="G63" s="2"/>
      <c r="I63" s="2"/>
    </row>
    <row r="64" spans="1:9" x14ac:dyDescent="0.3">
      <c r="A64" s="15">
        <f t="shared" si="0"/>
        <v>45798</v>
      </c>
      <c r="B64" s="17" t="s">
        <v>745</v>
      </c>
      <c r="C64" s="6">
        <v>2025</v>
      </c>
      <c r="D64" s="6">
        <v>13</v>
      </c>
      <c r="E64" s="6">
        <v>2134</v>
      </c>
      <c r="F64" s="6">
        <v>5</v>
      </c>
      <c r="G64" s="2"/>
      <c r="I64" s="2"/>
    </row>
    <row r="65" spans="1:9" x14ac:dyDescent="0.3">
      <c r="A65" s="15">
        <f>A64-3</f>
        <v>45795</v>
      </c>
      <c r="B65" s="17" t="s">
        <v>746</v>
      </c>
      <c r="C65" s="6">
        <v>2025</v>
      </c>
      <c r="D65" s="6">
        <v>11</v>
      </c>
      <c r="E65" s="6">
        <v>2096</v>
      </c>
      <c r="F65" s="6">
        <v>14</v>
      </c>
      <c r="G65" s="2"/>
      <c r="I65" s="2"/>
    </row>
    <row r="66" spans="1:9" x14ac:dyDescent="0.3">
      <c r="A66" s="15">
        <f>A65-1</f>
        <v>45794</v>
      </c>
      <c r="B66" s="17" t="s">
        <v>747</v>
      </c>
      <c r="C66" s="6">
        <v>2025</v>
      </c>
      <c r="D66" s="6">
        <v>5</v>
      </c>
      <c r="E66" s="6">
        <v>2096</v>
      </c>
      <c r="F66" s="6">
        <v>13</v>
      </c>
      <c r="G66" s="2"/>
      <c r="I66" s="2"/>
    </row>
    <row r="67" spans="1:9" x14ac:dyDescent="0.3">
      <c r="A67" s="15">
        <f t="shared" ref="A67:A69" si="1">A66-1</f>
        <v>45793</v>
      </c>
      <c r="B67" s="17" t="s">
        <v>748</v>
      </c>
      <c r="C67" s="6">
        <v>2025</v>
      </c>
      <c r="D67" s="6">
        <v>17</v>
      </c>
      <c r="E67" s="6">
        <v>2095</v>
      </c>
      <c r="F67" s="6">
        <v>12</v>
      </c>
      <c r="G67" s="2"/>
      <c r="I67" s="2"/>
    </row>
    <row r="68" spans="1:9" x14ac:dyDescent="0.3">
      <c r="A68" s="15">
        <f t="shared" si="1"/>
        <v>45792</v>
      </c>
      <c r="B68" s="17" t="s">
        <v>749</v>
      </c>
      <c r="C68" s="6">
        <v>2025</v>
      </c>
      <c r="D68" s="6">
        <v>10</v>
      </c>
      <c r="E68" s="6">
        <v>2086</v>
      </c>
      <c r="F68" s="6">
        <v>10</v>
      </c>
      <c r="G68" s="2"/>
      <c r="I68" s="2"/>
    </row>
    <row r="69" spans="1:9" x14ac:dyDescent="0.3">
      <c r="A69" s="15">
        <f t="shared" si="1"/>
        <v>45791</v>
      </c>
      <c r="B69" s="17" t="s">
        <v>750</v>
      </c>
      <c r="C69" s="6">
        <v>2025</v>
      </c>
      <c r="D69" s="6">
        <v>13</v>
      </c>
      <c r="E69" s="6">
        <v>2083</v>
      </c>
      <c r="F69" s="6">
        <v>5</v>
      </c>
      <c r="G69" s="2"/>
      <c r="I69" s="2"/>
    </row>
    <row r="70" spans="1:9" x14ac:dyDescent="0.3">
      <c r="A70" s="15">
        <f>A69-3</f>
        <v>45788</v>
      </c>
      <c r="B70" s="17" t="s">
        <v>751</v>
      </c>
      <c r="C70" s="6">
        <v>2025</v>
      </c>
      <c r="D70" s="6">
        <v>29</v>
      </c>
      <c r="E70" s="6">
        <v>2047</v>
      </c>
      <c r="F70" s="6">
        <v>6</v>
      </c>
      <c r="G70" s="2"/>
      <c r="I70" s="2"/>
    </row>
    <row r="71" spans="1:9" x14ac:dyDescent="0.3">
      <c r="A71" s="15">
        <f>A70-1</f>
        <v>45787</v>
      </c>
      <c r="B71" s="17" t="s">
        <v>752</v>
      </c>
      <c r="C71" s="6">
        <v>2025</v>
      </c>
      <c r="D71" s="6">
        <v>14</v>
      </c>
      <c r="E71" s="6">
        <v>2025</v>
      </c>
      <c r="F71" s="6">
        <v>18</v>
      </c>
      <c r="G71" s="2"/>
      <c r="I71" s="2"/>
    </row>
    <row r="72" spans="1:9" x14ac:dyDescent="0.3">
      <c r="A72" s="15">
        <f t="shared" ref="A72:A74" si="2">A71-1</f>
        <v>45786</v>
      </c>
      <c r="B72" s="17" t="s">
        <v>753</v>
      </c>
      <c r="C72" s="6">
        <v>2025</v>
      </c>
      <c r="D72" s="6">
        <v>11</v>
      </c>
      <c r="E72" s="6">
        <v>2023</v>
      </c>
      <c r="F72" s="6">
        <v>14</v>
      </c>
      <c r="G72" s="2"/>
      <c r="I72" s="2"/>
    </row>
    <row r="73" spans="1:9" x14ac:dyDescent="0.3">
      <c r="A73" s="15">
        <f t="shared" si="2"/>
        <v>45785</v>
      </c>
      <c r="B73" s="17" t="s">
        <v>754</v>
      </c>
      <c r="C73" s="6">
        <v>2025</v>
      </c>
      <c r="D73" s="6">
        <v>5</v>
      </c>
      <c r="E73" s="6">
        <v>2025</v>
      </c>
      <c r="F73" s="6">
        <v>6</v>
      </c>
      <c r="G73" s="2"/>
      <c r="I73" s="2"/>
    </row>
    <row r="74" spans="1:9" x14ac:dyDescent="0.3">
      <c r="A74" s="15">
        <f t="shared" si="2"/>
        <v>45784</v>
      </c>
      <c r="B74" s="17" t="s">
        <v>755</v>
      </c>
      <c r="C74" s="6">
        <v>2025</v>
      </c>
      <c r="D74" s="6">
        <v>9</v>
      </c>
      <c r="E74" s="6">
        <v>2026</v>
      </c>
      <c r="F74" s="6">
        <v>7</v>
      </c>
      <c r="G74" s="2"/>
      <c r="I74" s="2"/>
    </row>
    <row r="75" spans="1:9" x14ac:dyDescent="0.3">
      <c r="A75" s="15">
        <f>A74-3</f>
        <v>45781</v>
      </c>
      <c r="B75" s="17" t="s">
        <v>756</v>
      </c>
      <c r="C75" s="6">
        <v>2025</v>
      </c>
      <c r="D75" s="6">
        <v>2</v>
      </c>
      <c r="E75" s="6">
        <v>2015</v>
      </c>
      <c r="F75" s="6">
        <v>14</v>
      </c>
      <c r="G75" s="2"/>
      <c r="I75" s="2"/>
    </row>
    <row r="76" spans="1:9" x14ac:dyDescent="0.3">
      <c r="A76" s="15">
        <f>A75-1</f>
        <v>45780</v>
      </c>
      <c r="B76" s="17" t="s">
        <v>757</v>
      </c>
      <c r="C76" s="6">
        <v>2025</v>
      </c>
      <c r="D76" s="6">
        <v>11</v>
      </c>
      <c r="E76" s="6">
        <v>2019</v>
      </c>
      <c r="F76" s="6">
        <v>10</v>
      </c>
      <c r="G76" s="2"/>
      <c r="I76" s="2"/>
    </row>
    <row r="77" spans="1:9" x14ac:dyDescent="0.3">
      <c r="A77" s="15">
        <f t="shared" ref="A77:A78" si="3">A76-1</f>
        <v>45779</v>
      </c>
      <c r="B77" s="16">
        <v>6</v>
      </c>
      <c r="C77" s="6">
        <v>35</v>
      </c>
      <c r="D77" s="6">
        <v>9</v>
      </c>
      <c r="E77" s="6">
        <v>2020</v>
      </c>
      <c r="F77" s="6">
        <v>9</v>
      </c>
      <c r="G77" s="2"/>
      <c r="H77" s="4"/>
      <c r="I77" s="2"/>
    </row>
    <row r="78" spans="1:9" x14ac:dyDescent="0.3">
      <c r="A78" s="15">
        <f t="shared" si="3"/>
        <v>45778</v>
      </c>
      <c r="B78" s="16">
        <v>10</v>
      </c>
      <c r="C78" s="6">
        <v>29</v>
      </c>
      <c r="D78" s="6">
        <v>17</v>
      </c>
      <c r="E78" s="6">
        <v>2010</v>
      </c>
      <c r="F78" s="6">
        <v>5</v>
      </c>
      <c r="G78" s="2"/>
      <c r="H78" s="4"/>
      <c r="I78" s="2"/>
    </row>
    <row r="79" spans="1:9" x14ac:dyDescent="0.3">
      <c r="A79" s="15">
        <v>45897</v>
      </c>
      <c r="B79" s="16">
        <v>8</v>
      </c>
      <c r="C79" s="6">
        <v>33</v>
      </c>
      <c r="D79" s="6">
        <v>6</v>
      </c>
      <c r="E79" s="6">
        <v>1984</v>
      </c>
      <c r="F79" s="6">
        <v>17</v>
      </c>
      <c r="G79" s="2"/>
    </row>
    <row r="80" spans="1:9" x14ac:dyDescent="0.3">
      <c r="A80" s="15">
        <v>45896</v>
      </c>
      <c r="B80" s="16">
        <v>5</v>
      </c>
      <c r="C80" s="6">
        <v>19</v>
      </c>
      <c r="D80" s="6">
        <v>9</v>
      </c>
      <c r="E80" s="6">
        <v>1988</v>
      </c>
      <c r="F80" s="6">
        <v>19</v>
      </c>
      <c r="G80" s="2"/>
    </row>
    <row r="81" spans="1:7" x14ac:dyDescent="0.3">
      <c r="A81" s="15">
        <v>45895</v>
      </c>
      <c r="B81" s="16">
        <v>10</v>
      </c>
      <c r="C81" s="6">
        <v>21</v>
      </c>
      <c r="D81" s="6">
        <v>20</v>
      </c>
      <c r="E81" s="6">
        <v>1989</v>
      </c>
      <c r="F81" s="6">
        <v>15</v>
      </c>
      <c r="G81" s="2"/>
    </row>
    <row r="82" spans="1:7" x14ac:dyDescent="0.3">
      <c r="A82" s="15">
        <v>45894</v>
      </c>
      <c r="B82" s="16">
        <v>8</v>
      </c>
      <c r="C82" s="6">
        <v>30</v>
      </c>
      <c r="D82" s="6">
        <v>8</v>
      </c>
      <c r="E82" s="6">
        <v>1980</v>
      </c>
      <c r="F82" s="6">
        <v>11</v>
      </c>
      <c r="G82" s="2"/>
    </row>
    <row r="83" spans="1:7" x14ac:dyDescent="0.3">
      <c r="A83" s="15">
        <v>45893</v>
      </c>
      <c r="B83" s="16">
        <v>4</v>
      </c>
      <c r="C83" s="6">
        <v>21</v>
      </c>
      <c r="D83" s="6">
        <v>5</v>
      </c>
      <c r="E83" s="6">
        <v>1981</v>
      </c>
      <c r="F83" s="6">
        <v>5</v>
      </c>
      <c r="G83" s="2"/>
    </row>
    <row r="84" spans="1:7" x14ac:dyDescent="0.3">
      <c r="A84" s="15">
        <v>45890</v>
      </c>
      <c r="B84" s="16">
        <v>6</v>
      </c>
      <c r="C84" s="6">
        <v>49</v>
      </c>
      <c r="D84" s="6">
        <v>8</v>
      </c>
      <c r="E84" s="6">
        <v>1972</v>
      </c>
      <c r="F84" s="6">
        <v>21</v>
      </c>
      <c r="G84" s="2"/>
    </row>
    <row r="85" spans="1:7" x14ac:dyDescent="0.3">
      <c r="A85" s="15">
        <v>45889</v>
      </c>
      <c r="B85" s="16">
        <v>10</v>
      </c>
      <c r="C85" s="6">
        <v>38</v>
      </c>
      <c r="D85" s="6">
        <v>10</v>
      </c>
      <c r="E85" s="6">
        <v>1983</v>
      </c>
      <c r="F85" s="6">
        <v>10</v>
      </c>
      <c r="G85" s="2"/>
    </row>
    <row r="86" spans="1:7" x14ac:dyDescent="0.3">
      <c r="A86" s="15">
        <v>45888</v>
      </c>
      <c r="B86" s="16">
        <v>5</v>
      </c>
      <c r="C86" s="6">
        <v>35</v>
      </c>
      <c r="D86" s="6">
        <v>3</v>
      </c>
      <c r="E86" s="6">
        <v>1980</v>
      </c>
      <c r="F86" s="6">
        <v>11</v>
      </c>
      <c r="G86" s="2"/>
    </row>
    <row r="87" spans="1:7" x14ac:dyDescent="0.3">
      <c r="A87" s="15">
        <v>45887</v>
      </c>
      <c r="B87" s="16">
        <v>4</v>
      </c>
      <c r="C87" s="6">
        <v>20</v>
      </c>
      <c r="D87" s="6">
        <v>6</v>
      </c>
      <c r="E87" s="6">
        <v>1985</v>
      </c>
      <c r="F87" s="6">
        <v>14</v>
      </c>
      <c r="G87" s="2"/>
    </row>
    <row r="88" spans="1:7" x14ac:dyDescent="0.3">
      <c r="A88" s="15">
        <v>45886</v>
      </c>
      <c r="B88" s="16">
        <v>4</v>
      </c>
      <c r="C88" s="6">
        <v>14</v>
      </c>
      <c r="D88" s="6">
        <v>2</v>
      </c>
      <c r="E88" s="6">
        <v>1991</v>
      </c>
      <c r="F88" s="6">
        <v>3</v>
      </c>
      <c r="G88" s="2"/>
    </row>
    <row r="89" spans="1:7" x14ac:dyDescent="0.3">
      <c r="A89" s="15">
        <v>45883</v>
      </c>
      <c r="B89" s="16">
        <v>3</v>
      </c>
      <c r="C89" s="6">
        <v>27</v>
      </c>
      <c r="D89" s="6">
        <v>4</v>
      </c>
      <c r="E89" s="6">
        <v>1994</v>
      </c>
      <c r="F89" s="6">
        <v>11</v>
      </c>
      <c r="G89" s="2"/>
    </row>
    <row r="90" spans="1:7" x14ac:dyDescent="0.3">
      <c r="A90" s="15">
        <v>45882</v>
      </c>
      <c r="B90" s="16">
        <v>6</v>
      </c>
      <c r="C90" s="6">
        <v>22</v>
      </c>
      <c r="D90" s="6">
        <v>12</v>
      </c>
      <c r="E90" s="6">
        <v>1997</v>
      </c>
      <c r="F90" s="6">
        <v>17</v>
      </c>
      <c r="G90" s="2"/>
    </row>
    <row r="91" spans="1:7" x14ac:dyDescent="0.3">
      <c r="A91" s="15">
        <v>45881</v>
      </c>
      <c r="B91" s="16">
        <v>8</v>
      </c>
      <c r="C91" s="6">
        <v>38</v>
      </c>
      <c r="D91" s="6">
        <v>9</v>
      </c>
      <c r="E91" s="6">
        <v>1999</v>
      </c>
      <c r="F91" s="6">
        <v>9</v>
      </c>
      <c r="G91" s="2"/>
    </row>
    <row r="92" spans="1:7" x14ac:dyDescent="0.3">
      <c r="A92" s="15">
        <v>45880</v>
      </c>
      <c r="B92" s="16">
        <v>6</v>
      </c>
      <c r="C92" s="6">
        <v>23</v>
      </c>
      <c r="D92" s="6">
        <v>4</v>
      </c>
      <c r="E92" s="6">
        <v>1999</v>
      </c>
      <c r="F92" s="6">
        <v>16</v>
      </c>
      <c r="G92" s="2"/>
    </row>
    <row r="93" spans="1:7" x14ac:dyDescent="0.3">
      <c r="A93" s="15">
        <v>45879</v>
      </c>
      <c r="B93" s="16">
        <v>0</v>
      </c>
      <c r="C93" s="6">
        <v>18</v>
      </c>
      <c r="D93" s="6">
        <v>8</v>
      </c>
      <c r="E93" s="6">
        <v>2006</v>
      </c>
      <c r="F93" s="6">
        <v>12</v>
      </c>
      <c r="G93" s="2"/>
    </row>
    <row r="94" spans="1:7" x14ac:dyDescent="0.3">
      <c r="A94" s="15">
        <v>45876</v>
      </c>
      <c r="B94" s="16">
        <v>4</v>
      </c>
      <c r="C94" s="6">
        <v>18</v>
      </c>
      <c r="D94" s="6">
        <v>6</v>
      </c>
      <c r="E94" s="6">
        <v>2031</v>
      </c>
      <c r="F94" s="6">
        <v>17</v>
      </c>
      <c r="G94" s="2"/>
    </row>
    <row r="95" spans="1:7" x14ac:dyDescent="0.3">
      <c r="A95" s="15">
        <v>45875</v>
      </c>
      <c r="B95" s="16">
        <v>4</v>
      </c>
      <c r="C95" s="6">
        <v>17</v>
      </c>
      <c r="D95" s="6">
        <v>3</v>
      </c>
      <c r="E95" s="6">
        <v>2036</v>
      </c>
      <c r="F95" s="6">
        <v>13</v>
      </c>
      <c r="G95" s="2"/>
    </row>
    <row r="96" spans="1:7" x14ac:dyDescent="0.3">
      <c r="A96" s="15">
        <v>45874</v>
      </c>
      <c r="B96" s="16">
        <v>2</v>
      </c>
      <c r="C96" s="6">
        <v>21</v>
      </c>
      <c r="D96" s="6">
        <v>10</v>
      </c>
      <c r="E96" s="6">
        <v>2042</v>
      </c>
      <c r="F96" s="6">
        <v>14</v>
      </c>
      <c r="G96" s="2"/>
    </row>
    <row r="97" spans="1:9" x14ac:dyDescent="0.3">
      <c r="A97" s="15">
        <v>45873</v>
      </c>
      <c r="B97" s="16">
        <v>5</v>
      </c>
      <c r="C97" s="6">
        <v>22</v>
      </c>
      <c r="D97" s="6">
        <v>11</v>
      </c>
      <c r="E97" s="6">
        <v>2040</v>
      </c>
      <c r="F97" s="6">
        <v>14</v>
      </c>
      <c r="G97" s="2"/>
    </row>
    <row r="98" spans="1:9" x14ac:dyDescent="0.3">
      <c r="A98" s="15">
        <v>45872</v>
      </c>
      <c r="B98" s="16">
        <v>5</v>
      </c>
      <c r="C98" s="6">
        <v>26</v>
      </c>
      <c r="D98" s="6">
        <v>3</v>
      </c>
      <c r="E98" s="6">
        <v>2049</v>
      </c>
      <c r="F98" s="6">
        <v>5</v>
      </c>
      <c r="G98" s="2"/>
    </row>
    <row r="99" spans="1:9" x14ac:dyDescent="0.3">
      <c r="A99" s="15">
        <v>45869</v>
      </c>
      <c r="B99" s="16">
        <v>2</v>
      </c>
      <c r="C99" s="6">
        <v>9</v>
      </c>
      <c r="D99" s="6">
        <v>6</v>
      </c>
      <c r="E99" s="6">
        <v>2058</v>
      </c>
      <c r="F99" s="6">
        <v>15</v>
      </c>
      <c r="G99" s="2"/>
    </row>
    <row r="100" spans="1:9" x14ac:dyDescent="0.3">
      <c r="A100" s="15">
        <f>A99-1</f>
        <v>45868</v>
      </c>
      <c r="B100" s="16">
        <v>4</v>
      </c>
      <c r="C100" s="6">
        <v>15</v>
      </c>
      <c r="D100" s="6">
        <v>4</v>
      </c>
      <c r="E100" s="6">
        <v>2063</v>
      </c>
      <c r="F100" s="6">
        <v>16</v>
      </c>
      <c r="G100" s="4"/>
      <c r="H100" s="4"/>
      <c r="I100" s="2"/>
    </row>
    <row r="101" spans="1:9" x14ac:dyDescent="0.3">
      <c r="A101" s="15">
        <f t="shared" ref="A101:A103" si="4">A100-1</f>
        <v>45867</v>
      </c>
      <c r="B101" s="16">
        <v>2</v>
      </c>
      <c r="C101" s="6">
        <v>8</v>
      </c>
      <c r="D101" s="6">
        <v>3</v>
      </c>
      <c r="E101" s="6">
        <v>2072</v>
      </c>
      <c r="F101" s="6">
        <v>12</v>
      </c>
      <c r="G101" s="4"/>
      <c r="H101" s="4"/>
      <c r="I101" s="2"/>
    </row>
    <row r="102" spans="1:9" x14ac:dyDescent="0.3">
      <c r="A102" s="15">
        <f t="shared" si="4"/>
        <v>45866</v>
      </c>
      <c r="B102" s="16">
        <v>2</v>
      </c>
      <c r="C102" s="6">
        <v>9</v>
      </c>
      <c r="D102" s="6">
        <v>3</v>
      </c>
      <c r="E102" s="6">
        <v>2080</v>
      </c>
      <c r="F102" s="6">
        <v>14</v>
      </c>
      <c r="G102" s="4"/>
      <c r="H102" s="4"/>
      <c r="I102" s="2"/>
    </row>
    <row r="103" spans="1:9" x14ac:dyDescent="0.3">
      <c r="A103" s="15">
        <f t="shared" si="4"/>
        <v>45865</v>
      </c>
      <c r="B103" s="16">
        <v>1</v>
      </c>
      <c r="C103" s="6">
        <v>12</v>
      </c>
      <c r="D103" s="6">
        <v>2</v>
      </c>
      <c r="E103" s="6">
        <v>2088</v>
      </c>
      <c r="F103" s="6">
        <v>4</v>
      </c>
      <c r="G103" s="4"/>
      <c r="H103" s="4"/>
      <c r="I103" s="2"/>
    </row>
    <row r="104" spans="1:9" x14ac:dyDescent="0.3">
      <c r="A104" s="15">
        <f>A103-3</f>
        <v>45862</v>
      </c>
      <c r="B104" s="16">
        <v>6</v>
      </c>
      <c r="C104" s="6">
        <v>18</v>
      </c>
      <c r="D104" s="6">
        <v>7</v>
      </c>
      <c r="E104" s="6">
        <v>2096</v>
      </c>
      <c r="F104" s="6">
        <v>29</v>
      </c>
      <c r="G104" s="4"/>
      <c r="H104" s="4"/>
      <c r="I104" s="2"/>
    </row>
    <row r="105" spans="1:9" x14ac:dyDescent="0.3">
      <c r="A105" s="15">
        <f>A104-1</f>
        <v>45861</v>
      </c>
      <c r="B105" s="16">
        <v>6</v>
      </c>
      <c r="C105" s="6">
        <v>21</v>
      </c>
      <c r="D105" s="6">
        <v>5</v>
      </c>
      <c r="E105" s="6">
        <v>2111</v>
      </c>
      <c r="F105" s="6">
        <v>14</v>
      </c>
      <c r="G105" s="4"/>
      <c r="H105" s="4"/>
      <c r="I105" s="2"/>
    </row>
    <row r="106" spans="1:9" x14ac:dyDescent="0.3">
      <c r="A106" s="15">
        <f t="shared" ref="A106:A107" si="5">A105-1</f>
        <v>45860</v>
      </c>
      <c r="B106" s="16">
        <v>5</v>
      </c>
      <c r="C106" s="6">
        <v>13</v>
      </c>
      <c r="D106" s="6">
        <v>3</v>
      </c>
      <c r="E106" s="6">
        <v>2117</v>
      </c>
      <c r="F106" s="6">
        <v>16</v>
      </c>
      <c r="G106" s="4"/>
      <c r="H106" s="4"/>
      <c r="I106" s="2"/>
    </row>
    <row r="107" spans="1:9" x14ac:dyDescent="0.3">
      <c r="A107" s="15">
        <f t="shared" si="5"/>
        <v>45859</v>
      </c>
      <c r="B107" s="16">
        <v>4</v>
      </c>
      <c r="C107" s="6">
        <v>18</v>
      </c>
      <c r="D107" s="6">
        <v>7</v>
      </c>
      <c r="E107" s="6">
        <v>2121</v>
      </c>
      <c r="F107" s="6">
        <v>16</v>
      </c>
      <c r="G107" s="4"/>
      <c r="H107" s="4"/>
      <c r="I107" s="2"/>
    </row>
    <row r="108" spans="1:9" x14ac:dyDescent="0.3">
      <c r="A108" s="15">
        <f>A107-4</f>
        <v>45855</v>
      </c>
      <c r="B108" s="16">
        <v>3</v>
      </c>
      <c r="C108" s="6">
        <v>16</v>
      </c>
      <c r="D108" s="6">
        <v>2</v>
      </c>
      <c r="E108" s="6">
        <v>2153</v>
      </c>
      <c r="F108" s="6">
        <v>17</v>
      </c>
      <c r="G108" s="4"/>
      <c r="H108" s="4"/>
      <c r="I108" s="2"/>
    </row>
    <row r="109" spans="1:9" x14ac:dyDescent="0.3">
      <c r="A109" s="15">
        <f>A108-1</f>
        <v>45854</v>
      </c>
      <c r="B109" s="16">
        <v>1</v>
      </c>
      <c r="C109" s="6">
        <v>9</v>
      </c>
      <c r="D109" s="6">
        <v>0</v>
      </c>
      <c r="E109" s="6">
        <v>2164</v>
      </c>
      <c r="F109" s="6">
        <v>11</v>
      </c>
      <c r="G109" s="4"/>
      <c r="H109" s="4"/>
      <c r="I109" s="2"/>
    </row>
    <row r="110" spans="1:9" x14ac:dyDescent="0.3">
      <c r="A110" s="15">
        <f t="shared" ref="A110:A112" si="6">A109-1</f>
        <v>45853</v>
      </c>
      <c r="B110" s="16">
        <v>0</v>
      </c>
      <c r="C110" s="6">
        <v>8</v>
      </c>
      <c r="D110" s="6">
        <v>5</v>
      </c>
      <c r="E110" s="6">
        <v>2171</v>
      </c>
      <c r="F110" s="6">
        <v>17</v>
      </c>
      <c r="G110" s="4"/>
      <c r="H110" s="4"/>
      <c r="I110" s="2"/>
    </row>
    <row r="111" spans="1:9" x14ac:dyDescent="0.3">
      <c r="A111" s="15">
        <f t="shared" si="6"/>
        <v>45852</v>
      </c>
      <c r="B111" s="16">
        <v>2</v>
      </c>
      <c r="C111" s="6">
        <v>9</v>
      </c>
      <c r="D111" s="6">
        <v>1</v>
      </c>
      <c r="E111" s="6">
        <v>2181</v>
      </c>
      <c r="F111" s="6">
        <v>26</v>
      </c>
      <c r="G111" s="4"/>
      <c r="H111" s="4"/>
      <c r="I111" s="2"/>
    </row>
    <row r="112" spans="1:9" x14ac:dyDescent="0.3">
      <c r="A112" s="15">
        <f t="shared" si="6"/>
        <v>45851</v>
      </c>
      <c r="B112" s="16">
        <v>1</v>
      </c>
      <c r="C112" s="6">
        <v>13</v>
      </c>
      <c r="D112" s="6">
        <v>4</v>
      </c>
      <c r="E112" s="6">
        <v>2204</v>
      </c>
      <c r="F112" s="6">
        <v>10</v>
      </c>
      <c r="G112" s="4"/>
      <c r="H112" s="4"/>
      <c r="I112" s="2"/>
    </row>
    <row r="113" spans="1:9" x14ac:dyDescent="0.3">
      <c r="A113" s="15">
        <f>A112-3</f>
        <v>45848</v>
      </c>
      <c r="B113" s="16">
        <v>2</v>
      </c>
      <c r="C113" s="6">
        <v>12</v>
      </c>
      <c r="D113" s="6">
        <v>3</v>
      </c>
      <c r="E113" s="6">
        <v>2252</v>
      </c>
      <c r="F113" s="6">
        <v>39</v>
      </c>
      <c r="G113" s="4"/>
      <c r="H113" s="4"/>
      <c r="I113" s="2"/>
    </row>
    <row r="114" spans="1:9" x14ac:dyDescent="0.3">
      <c r="A114" s="15">
        <f>A113-1</f>
        <v>45847</v>
      </c>
      <c r="B114" s="16">
        <v>2</v>
      </c>
      <c r="C114" s="6">
        <v>18</v>
      </c>
      <c r="D114" s="6">
        <v>0</v>
      </c>
      <c r="E114" s="6">
        <v>2281</v>
      </c>
      <c r="F114" s="6">
        <v>32</v>
      </c>
      <c r="G114" s="4"/>
      <c r="H114" s="4"/>
      <c r="I114" s="2"/>
    </row>
    <row r="115" spans="1:9" x14ac:dyDescent="0.3">
      <c r="A115" s="15">
        <f t="shared" ref="A115:A117" si="7">A114-1</f>
        <v>45846</v>
      </c>
      <c r="B115" s="16">
        <v>5</v>
      </c>
      <c r="C115" s="6">
        <v>16</v>
      </c>
      <c r="D115" s="6">
        <v>8</v>
      </c>
      <c r="E115" s="6">
        <v>2306</v>
      </c>
      <c r="F115" s="6">
        <v>20</v>
      </c>
      <c r="G115" s="4"/>
      <c r="H115" s="4"/>
      <c r="I115" s="2"/>
    </row>
    <row r="116" spans="1:9" x14ac:dyDescent="0.3">
      <c r="A116" s="15">
        <f t="shared" si="7"/>
        <v>45845</v>
      </c>
      <c r="B116" s="16">
        <v>3</v>
      </c>
      <c r="C116" s="6">
        <v>18</v>
      </c>
      <c r="D116" s="6">
        <v>8</v>
      </c>
      <c r="E116" s="6">
        <v>2317</v>
      </c>
      <c r="F116" s="6">
        <v>20</v>
      </c>
      <c r="G116" s="4"/>
      <c r="H116" s="4"/>
      <c r="I116" s="2"/>
    </row>
    <row r="117" spans="1:9" x14ac:dyDescent="0.3">
      <c r="A117" s="15">
        <f t="shared" si="7"/>
        <v>45844</v>
      </c>
      <c r="B117" s="16">
        <v>4</v>
      </c>
      <c r="C117" s="6">
        <v>17</v>
      </c>
      <c r="D117" s="6">
        <v>2</v>
      </c>
      <c r="E117" s="6">
        <v>2332</v>
      </c>
      <c r="F117" s="6">
        <v>8</v>
      </c>
      <c r="G117" s="4"/>
      <c r="H117" s="4"/>
      <c r="I117" s="2"/>
    </row>
    <row r="118" spans="1:9" x14ac:dyDescent="0.3">
      <c r="A118" s="15">
        <f>A117-4</f>
        <v>45840</v>
      </c>
      <c r="B118" s="16">
        <v>8</v>
      </c>
      <c r="C118" s="6">
        <v>20</v>
      </c>
      <c r="D118" s="6">
        <v>9</v>
      </c>
      <c r="E118" s="6">
        <v>2373</v>
      </c>
      <c r="F118" s="6">
        <v>38</v>
      </c>
      <c r="G118" s="4"/>
      <c r="H118" s="4"/>
      <c r="I118" s="2"/>
    </row>
    <row r="119" spans="1:9" x14ac:dyDescent="0.3">
      <c r="A119" s="15">
        <f>A118-1</f>
        <v>45839</v>
      </c>
      <c r="B119" s="16">
        <v>7</v>
      </c>
      <c r="C119" s="6">
        <v>14</v>
      </c>
      <c r="D119" s="6">
        <v>6</v>
      </c>
      <c r="E119" s="6">
        <v>2391</v>
      </c>
      <c r="F119" s="6">
        <v>22</v>
      </c>
      <c r="G119" s="4"/>
      <c r="H119" s="4"/>
      <c r="I119" s="2"/>
    </row>
    <row r="120" spans="1:9" x14ac:dyDescent="0.3">
      <c r="A120" s="15">
        <f t="shared" ref="A120:A121" si="8">A119-1</f>
        <v>45838</v>
      </c>
      <c r="B120" s="16">
        <v>9</v>
      </c>
      <c r="C120" s="6">
        <v>22</v>
      </c>
      <c r="D120" s="6">
        <v>8</v>
      </c>
      <c r="E120" s="6">
        <v>2407</v>
      </c>
      <c r="F120" s="6">
        <v>16</v>
      </c>
      <c r="G120" s="4"/>
      <c r="H120" s="4"/>
      <c r="I120" s="2"/>
    </row>
    <row r="121" spans="1:9" x14ac:dyDescent="0.3">
      <c r="A121" s="15">
        <f t="shared" si="8"/>
        <v>45837</v>
      </c>
      <c r="B121" s="16">
        <v>5</v>
      </c>
      <c r="C121" s="6">
        <v>17</v>
      </c>
      <c r="D121" s="6">
        <v>7</v>
      </c>
      <c r="E121" s="6">
        <v>2413</v>
      </c>
      <c r="F121" s="6">
        <v>20</v>
      </c>
      <c r="G121" s="4"/>
      <c r="H121" s="4"/>
      <c r="I121" s="2"/>
    </row>
    <row r="122" spans="1:9" x14ac:dyDescent="0.3">
      <c r="A122" s="15">
        <f>A121-3</f>
        <v>45834</v>
      </c>
      <c r="B122" s="16">
        <v>3</v>
      </c>
      <c r="C122" s="6">
        <v>9</v>
      </c>
      <c r="D122" s="6">
        <v>7</v>
      </c>
      <c r="E122" s="6">
        <v>2447</v>
      </c>
      <c r="F122" s="6">
        <v>35</v>
      </c>
      <c r="G122" s="4"/>
      <c r="H122" s="4"/>
      <c r="I122" s="2"/>
    </row>
    <row r="123" spans="1:9" x14ac:dyDescent="0.3">
      <c r="A123" s="15">
        <f>A122-1</f>
        <v>45833</v>
      </c>
      <c r="B123" s="16">
        <v>6</v>
      </c>
      <c r="C123" s="6">
        <v>12</v>
      </c>
      <c r="D123" s="6">
        <v>2</v>
      </c>
      <c r="E123" s="6">
        <v>2470</v>
      </c>
      <c r="F123" s="6">
        <v>24</v>
      </c>
      <c r="G123" s="4"/>
      <c r="H123" s="4"/>
      <c r="I123" s="2"/>
    </row>
    <row r="124" spans="1:9" x14ac:dyDescent="0.3">
      <c r="A124" s="15">
        <f t="shared" ref="A124:A126" si="9">A123-1</f>
        <v>45832</v>
      </c>
      <c r="B124" s="16">
        <v>5</v>
      </c>
      <c r="C124" s="6">
        <v>20</v>
      </c>
      <c r="D124" s="6">
        <v>5</v>
      </c>
      <c r="E124" s="6">
        <v>2489</v>
      </c>
      <c r="F124" s="6">
        <v>16</v>
      </c>
      <c r="G124" s="4"/>
      <c r="H124" s="4"/>
      <c r="I124" s="2"/>
    </row>
    <row r="125" spans="1:9" x14ac:dyDescent="0.3">
      <c r="A125" s="15">
        <f t="shared" si="9"/>
        <v>45831</v>
      </c>
      <c r="B125" s="16">
        <v>3</v>
      </c>
      <c r="C125" s="6">
        <v>15</v>
      </c>
      <c r="D125" s="6">
        <v>5</v>
      </c>
      <c r="E125" s="6">
        <v>2495</v>
      </c>
      <c r="F125" s="6">
        <v>17</v>
      </c>
      <c r="G125" s="4"/>
      <c r="H125" s="4"/>
      <c r="I125" s="2"/>
    </row>
    <row r="126" spans="1:9" x14ac:dyDescent="0.3">
      <c r="A126" s="15">
        <f t="shared" si="9"/>
        <v>45830</v>
      </c>
      <c r="B126" s="16">
        <v>7</v>
      </c>
      <c r="C126" s="6">
        <v>13</v>
      </c>
      <c r="D126" s="6">
        <v>5</v>
      </c>
      <c r="E126" s="6">
        <v>2508</v>
      </c>
      <c r="F126" s="6">
        <v>7</v>
      </c>
      <c r="G126" s="4"/>
      <c r="H126" s="4"/>
      <c r="I126" s="2"/>
    </row>
    <row r="127" spans="1:9" x14ac:dyDescent="0.3">
      <c r="A127" s="15">
        <f>A126-3</f>
        <v>45827</v>
      </c>
      <c r="B127" s="16">
        <v>8</v>
      </c>
      <c r="C127" s="6">
        <v>19</v>
      </c>
      <c r="D127" s="6">
        <v>7</v>
      </c>
      <c r="E127" s="6">
        <v>2501</v>
      </c>
      <c r="F127" s="6">
        <v>18</v>
      </c>
      <c r="G127" s="4"/>
      <c r="H127" s="4"/>
      <c r="I127" s="2"/>
    </row>
    <row r="128" spans="1:9" x14ac:dyDescent="0.3">
      <c r="A128" s="15">
        <f>A127-2</f>
        <v>45825</v>
      </c>
      <c r="B128" s="16">
        <v>7</v>
      </c>
      <c r="C128" s="6">
        <v>24</v>
      </c>
      <c r="D128" s="6">
        <v>10</v>
      </c>
      <c r="E128" s="6">
        <v>2523</v>
      </c>
      <c r="F128" s="6">
        <v>14</v>
      </c>
      <c r="G128" s="4"/>
      <c r="H128" s="4"/>
      <c r="I128" s="2"/>
    </row>
    <row r="129" spans="1:9" x14ac:dyDescent="0.3">
      <c r="A129" s="15">
        <f>A128-7</f>
        <v>45818</v>
      </c>
      <c r="B129" s="16">
        <v>17</v>
      </c>
      <c r="C129" s="6">
        <v>28</v>
      </c>
      <c r="D129" s="6">
        <v>7</v>
      </c>
      <c r="E129" s="6">
        <v>2511</v>
      </c>
      <c r="F129" s="6">
        <v>12</v>
      </c>
      <c r="G129" s="4"/>
      <c r="H129" s="4"/>
      <c r="I129" s="2"/>
    </row>
    <row r="130" spans="1:9" x14ac:dyDescent="0.3">
      <c r="A130" s="15">
        <f>A129-1</f>
        <v>45817</v>
      </c>
      <c r="B130" s="16">
        <v>8</v>
      </c>
      <c r="C130" s="6">
        <v>21</v>
      </c>
      <c r="D130" s="6">
        <v>14</v>
      </c>
      <c r="E130" s="6">
        <v>2516</v>
      </c>
      <c r="F130" s="6">
        <v>9</v>
      </c>
      <c r="G130" s="4"/>
      <c r="H130" s="4"/>
      <c r="I130" s="2"/>
    </row>
    <row r="131" spans="1:9" x14ac:dyDescent="0.3">
      <c r="A131" s="15">
        <f>A130-1</f>
        <v>45816</v>
      </c>
      <c r="B131" s="16">
        <v>10</v>
      </c>
      <c r="C131" s="6">
        <v>16</v>
      </c>
      <c r="D131" s="6">
        <v>15</v>
      </c>
      <c r="E131" s="6">
        <v>2507</v>
      </c>
      <c r="F131" s="6">
        <v>13</v>
      </c>
      <c r="G131" s="4"/>
      <c r="H131" s="4"/>
      <c r="I131" s="2"/>
    </row>
    <row r="132" spans="1:9" x14ac:dyDescent="0.3">
      <c r="A132" s="15">
        <f>A131-3</f>
        <v>45813</v>
      </c>
      <c r="B132" s="16">
        <v>8</v>
      </c>
      <c r="C132" s="6">
        <v>26</v>
      </c>
      <c r="D132" s="6">
        <v>5</v>
      </c>
      <c r="E132" s="6">
        <v>2503</v>
      </c>
      <c r="F132" s="6">
        <v>21</v>
      </c>
      <c r="G132" s="4"/>
      <c r="H132" s="4"/>
      <c r="I132" s="2"/>
    </row>
    <row r="133" spans="1:9" x14ac:dyDescent="0.3">
      <c r="A133" s="15">
        <f>A132-1</f>
        <v>45812</v>
      </c>
      <c r="B133" s="16">
        <v>4</v>
      </c>
      <c r="C133" s="6">
        <v>16</v>
      </c>
      <c r="D133" s="6">
        <v>9</v>
      </c>
      <c r="E133" s="6">
        <v>2516</v>
      </c>
      <c r="F133" s="6">
        <v>16</v>
      </c>
      <c r="G133" s="4"/>
      <c r="H133" s="4"/>
      <c r="I133" s="2"/>
    </row>
    <row r="134" spans="1:9" x14ac:dyDescent="0.3">
      <c r="A134" s="15">
        <f t="shared" ref="A134:A136" si="10">A133-1</f>
        <v>45811</v>
      </c>
      <c r="B134" s="16">
        <v>5</v>
      </c>
      <c r="C134" s="6">
        <v>23</v>
      </c>
      <c r="D134" s="6">
        <v>11</v>
      </c>
      <c r="E134" s="6">
        <v>2519</v>
      </c>
      <c r="F134" s="6">
        <v>15</v>
      </c>
      <c r="G134" s="4"/>
      <c r="H134" s="4"/>
      <c r="I134" s="2"/>
    </row>
    <row r="135" spans="1:9" x14ac:dyDescent="0.3">
      <c r="A135" s="15">
        <f t="shared" si="10"/>
        <v>45810</v>
      </c>
      <c r="B135" s="16">
        <v>10</v>
      </c>
      <c r="C135" s="6">
        <v>19</v>
      </c>
      <c r="D135" s="6">
        <v>5</v>
      </c>
      <c r="E135" s="6">
        <v>2518</v>
      </c>
      <c r="F135" s="6">
        <v>16</v>
      </c>
      <c r="G135" s="4"/>
      <c r="H135" s="4"/>
      <c r="I135" s="2"/>
    </row>
    <row r="136" spans="1:9" x14ac:dyDescent="0.3">
      <c r="A136" s="15">
        <f t="shared" si="10"/>
        <v>45809</v>
      </c>
      <c r="B136" s="16">
        <v>8</v>
      </c>
      <c r="C136" s="6">
        <v>24</v>
      </c>
      <c r="D136" s="6">
        <v>16</v>
      </c>
      <c r="E136" s="6">
        <v>2528</v>
      </c>
      <c r="F136" s="6">
        <v>12</v>
      </c>
      <c r="G136" s="4"/>
      <c r="H136" s="4"/>
      <c r="I136" s="2"/>
    </row>
    <row r="137" spans="1:9" x14ac:dyDescent="0.3">
      <c r="A137" s="15">
        <v>45806</v>
      </c>
      <c r="B137" s="16">
        <v>13</v>
      </c>
      <c r="C137" s="6">
        <v>38</v>
      </c>
      <c r="D137" s="6">
        <v>15</v>
      </c>
      <c r="E137" s="6">
        <v>2506</v>
      </c>
      <c r="F137" s="6">
        <v>11</v>
      </c>
      <c r="G137" s="4"/>
      <c r="H137" s="4"/>
      <c r="I137" s="2"/>
    </row>
    <row r="138" spans="1:9" x14ac:dyDescent="0.3">
      <c r="A138" s="15">
        <v>45805</v>
      </c>
      <c r="B138" s="16">
        <v>12</v>
      </c>
      <c r="C138" s="6">
        <v>39</v>
      </c>
      <c r="D138" s="6">
        <v>12</v>
      </c>
      <c r="E138" s="6">
        <v>2499</v>
      </c>
      <c r="F138" s="6">
        <v>14</v>
      </c>
      <c r="G138" s="4"/>
    </row>
    <row r="139" spans="1:9" x14ac:dyDescent="0.3">
      <c r="A139" s="15">
        <v>45804</v>
      </c>
      <c r="B139" s="16">
        <v>6</v>
      </c>
      <c r="C139" s="6">
        <v>24</v>
      </c>
      <c r="D139" s="6">
        <v>7</v>
      </c>
      <c r="E139" s="6">
        <v>2504</v>
      </c>
      <c r="F139" s="6">
        <v>11</v>
      </c>
      <c r="G139" s="4"/>
    </row>
    <row r="140" spans="1:9" x14ac:dyDescent="0.3">
      <c r="A140" s="15">
        <v>45799</v>
      </c>
      <c r="B140" s="16">
        <v>18</v>
      </c>
      <c r="C140" s="6">
        <v>36</v>
      </c>
      <c r="D140" s="6">
        <v>17</v>
      </c>
      <c r="E140" s="6">
        <v>2473</v>
      </c>
      <c r="F140" s="6">
        <v>15</v>
      </c>
      <c r="G140" s="4"/>
    </row>
    <row r="141" spans="1:9" x14ac:dyDescent="0.3">
      <c r="A141" s="15">
        <v>45798</v>
      </c>
      <c r="B141" s="16">
        <v>14</v>
      </c>
      <c r="C141" s="6">
        <v>62</v>
      </c>
      <c r="D141" s="6">
        <v>13</v>
      </c>
      <c r="E141" s="6">
        <v>2467</v>
      </c>
      <c r="F141" s="6">
        <v>18</v>
      </c>
      <c r="G141" s="4"/>
    </row>
    <row r="142" spans="1:9" x14ac:dyDescent="0.3">
      <c r="A142" s="15">
        <v>45796</v>
      </c>
      <c r="B142" s="16">
        <v>7</v>
      </c>
      <c r="C142" s="6">
        <v>27</v>
      </c>
      <c r="D142" s="6">
        <v>17</v>
      </c>
      <c r="E142" s="6">
        <v>2457</v>
      </c>
      <c r="F142" s="6">
        <v>6</v>
      </c>
      <c r="G142" s="2"/>
    </row>
    <row r="143" spans="1:9" x14ac:dyDescent="0.3">
      <c r="A143" s="15">
        <v>45795</v>
      </c>
      <c r="B143" s="16">
        <v>13</v>
      </c>
      <c r="C143" s="6">
        <v>28</v>
      </c>
      <c r="D143" s="6">
        <v>14</v>
      </c>
      <c r="E143" s="6">
        <v>2437</v>
      </c>
      <c r="F143" s="6">
        <v>9</v>
      </c>
      <c r="G143" s="2"/>
    </row>
    <row r="144" spans="1:9" x14ac:dyDescent="0.3">
      <c r="A144" s="15">
        <v>45792</v>
      </c>
      <c r="B144" s="16">
        <v>15</v>
      </c>
      <c r="C144" s="6">
        <v>31</v>
      </c>
      <c r="D144" s="6">
        <v>14</v>
      </c>
      <c r="E144" s="6">
        <v>2410</v>
      </c>
      <c r="F144" s="6">
        <v>14</v>
      </c>
      <c r="G144" s="2"/>
    </row>
    <row r="145" spans="1:7" x14ac:dyDescent="0.3">
      <c r="A145" s="15">
        <v>45791</v>
      </c>
      <c r="B145" s="16">
        <v>7</v>
      </c>
      <c r="C145" s="6">
        <v>30</v>
      </c>
      <c r="D145" s="6">
        <v>14</v>
      </c>
      <c r="E145" s="6">
        <v>2394</v>
      </c>
      <c r="F145" s="6">
        <v>11</v>
      </c>
      <c r="G145" s="2"/>
    </row>
    <row r="146" spans="1:7" x14ac:dyDescent="0.3">
      <c r="A146" s="15">
        <v>45790</v>
      </c>
      <c r="B146" s="16">
        <v>18</v>
      </c>
      <c r="C146" s="6">
        <v>29</v>
      </c>
      <c r="D146" s="6">
        <v>12</v>
      </c>
      <c r="E146" s="6">
        <v>2394</v>
      </c>
      <c r="F146" s="6">
        <v>11</v>
      </c>
      <c r="G146" s="2"/>
    </row>
    <row r="147" spans="1:7" x14ac:dyDescent="0.3">
      <c r="A147" s="15">
        <v>45789</v>
      </c>
      <c r="B147" s="16">
        <v>7</v>
      </c>
      <c r="C147" s="6">
        <v>33</v>
      </c>
      <c r="D147" s="6">
        <v>14</v>
      </c>
      <c r="E147" s="6">
        <v>2392</v>
      </c>
      <c r="F147" s="6">
        <v>7</v>
      </c>
      <c r="G147" s="2"/>
    </row>
    <row r="148" spans="1:7" x14ac:dyDescent="0.3">
      <c r="A148" s="15">
        <v>45788</v>
      </c>
      <c r="B148" s="16">
        <v>15</v>
      </c>
      <c r="C148" s="6">
        <v>20</v>
      </c>
      <c r="D148" s="6">
        <v>12</v>
      </c>
      <c r="E148" s="6">
        <v>2385</v>
      </c>
      <c r="F148" s="6">
        <v>3</v>
      </c>
      <c r="G148" s="2"/>
    </row>
    <row r="149" spans="1:7" x14ac:dyDescent="0.3">
      <c r="A149" s="15">
        <v>45785</v>
      </c>
      <c r="B149" s="16">
        <v>15</v>
      </c>
      <c r="C149" s="6">
        <v>24</v>
      </c>
      <c r="D149" s="6">
        <v>16</v>
      </c>
      <c r="E149" s="6">
        <v>2361</v>
      </c>
      <c r="F149" s="6">
        <v>11</v>
      </c>
      <c r="G149" s="2"/>
    </row>
    <row r="150" spans="1:7" x14ac:dyDescent="0.3">
      <c r="A150" s="15">
        <v>45784</v>
      </c>
      <c r="B150" s="16">
        <v>10</v>
      </c>
      <c r="C150" s="6">
        <v>30</v>
      </c>
      <c r="D150" s="6">
        <v>15</v>
      </c>
      <c r="E150" s="6">
        <v>2335</v>
      </c>
      <c r="F150" s="6">
        <v>10</v>
      </c>
      <c r="G150" s="2"/>
    </row>
    <row r="151" spans="1:7" x14ac:dyDescent="0.3">
      <c r="A151" s="15">
        <v>45783</v>
      </c>
      <c r="B151" s="16">
        <v>10</v>
      </c>
      <c r="C151" s="6">
        <v>33</v>
      </c>
      <c r="D151" s="6">
        <v>16</v>
      </c>
      <c r="E151" s="6">
        <v>2339</v>
      </c>
      <c r="F151" s="6">
        <v>16</v>
      </c>
      <c r="G151" s="2"/>
    </row>
    <row r="152" spans="1:7" x14ac:dyDescent="0.3">
      <c r="A152" s="15">
        <v>45782</v>
      </c>
      <c r="B152" s="16">
        <v>15</v>
      </c>
      <c r="C152" s="6">
        <v>44</v>
      </c>
      <c r="D152" s="6">
        <v>20</v>
      </c>
      <c r="E152" s="6">
        <v>2331</v>
      </c>
      <c r="F152" s="6">
        <v>17</v>
      </c>
      <c r="G152" s="2"/>
    </row>
    <row r="153" spans="1:7" x14ac:dyDescent="0.3">
      <c r="A153" s="15">
        <v>45781</v>
      </c>
      <c r="B153" s="16">
        <v>9</v>
      </c>
      <c r="C153" s="6">
        <v>31</v>
      </c>
      <c r="D153" s="6">
        <v>10</v>
      </c>
      <c r="E153" s="6">
        <v>2335</v>
      </c>
      <c r="F153" s="6">
        <v>5</v>
      </c>
      <c r="G153" s="2"/>
    </row>
    <row r="154" spans="1:7" x14ac:dyDescent="0.3">
      <c r="A154" s="15">
        <v>45778</v>
      </c>
      <c r="B154" s="16">
        <v>13</v>
      </c>
      <c r="C154" s="6">
        <v>32</v>
      </c>
      <c r="D154" s="6">
        <v>14</v>
      </c>
      <c r="E154" s="6">
        <v>2306</v>
      </c>
      <c r="F154" s="6">
        <v>16</v>
      </c>
      <c r="G154" s="2"/>
    </row>
    <row r="155" spans="1:7" x14ac:dyDescent="0.3">
      <c r="A155" s="15">
        <v>45777</v>
      </c>
      <c r="B155" s="16">
        <v>7</v>
      </c>
      <c r="C155" s="6">
        <v>34</v>
      </c>
      <c r="D155" s="6">
        <v>9</v>
      </c>
      <c r="E155" s="6">
        <v>2309</v>
      </c>
      <c r="F155" s="6">
        <v>12</v>
      </c>
      <c r="G155" s="2"/>
    </row>
    <row r="156" spans="1:7" x14ac:dyDescent="0.3">
      <c r="A156" s="15">
        <v>45776</v>
      </c>
      <c r="B156" s="16">
        <v>11</v>
      </c>
      <c r="C156" s="6">
        <v>25</v>
      </c>
      <c r="D156" s="6">
        <v>11</v>
      </c>
      <c r="E156" s="6">
        <v>2304</v>
      </c>
      <c r="F156" s="6">
        <v>15</v>
      </c>
      <c r="G156" s="2"/>
    </row>
    <row r="157" spans="1:7" x14ac:dyDescent="0.3">
      <c r="A157" s="15">
        <v>45775</v>
      </c>
      <c r="B157" s="16">
        <v>6</v>
      </c>
      <c r="C157" s="6">
        <v>26</v>
      </c>
      <c r="D157" s="6">
        <v>12</v>
      </c>
      <c r="E157" s="6">
        <v>2307</v>
      </c>
      <c r="F157" s="6">
        <v>8</v>
      </c>
      <c r="G157" s="2"/>
    </row>
    <row r="158" spans="1:7" x14ac:dyDescent="0.3">
      <c r="A158" s="15">
        <v>45774</v>
      </c>
      <c r="B158" s="16">
        <v>9</v>
      </c>
      <c r="C158" s="6">
        <v>40</v>
      </c>
      <c r="D158" s="6">
        <v>12</v>
      </c>
      <c r="E158" s="6">
        <v>2301</v>
      </c>
      <c r="F158" s="6">
        <v>4</v>
      </c>
      <c r="G158" s="2"/>
    </row>
    <row r="159" spans="1:7" x14ac:dyDescent="0.3">
      <c r="A159" s="15">
        <v>45771</v>
      </c>
      <c r="B159" s="16">
        <v>3</v>
      </c>
      <c r="C159" s="6">
        <v>9</v>
      </c>
      <c r="D159" s="6">
        <v>7</v>
      </c>
      <c r="E159" s="6">
        <v>2294</v>
      </c>
      <c r="F159" s="6">
        <v>13</v>
      </c>
      <c r="G159" s="2"/>
    </row>
    <row r="160" spans="1:7" x14ac:dyDescent="0.3">
      <c r="A160" s="15">
        <v>45770</v>
      </c>
      <c r="B160" s="16">
        <v>3</v>
      </c>
      <c r="C160" s="6">
        <v>23</v>
      </c>
      <c r="D160" s="6">
        <v>4</v>
      </c>
      <c r="E160" s="6">
        <v>2300</v>
      </c>
      <c r="F160" s="6">
        <v>11</v>
      </c>
      <c r="G160" s="2"/>
    </row>
    <row r="161" spans="1:7" x14ac:dyDescent="0.3">
      <c r="A161" s="15">
        <v>45769</v>
      </c>
      <c r="B161" s="16">
        <v>7</v>
      </c>
      <c r="C161" s="6">
        <v>19</v>
      </c>
      <c r="D161" s="6">
        <v>14</v>
      </c>
      <c r="E161" s="6">
        <v>2305</v>
      </c>
      <c r="F161" s="6">
        <v>17</v>
      </c>
      <c r="G161" s="2"/>
    </row>
    <row r="162" spans="1:7" x14ac:dyDescent="0.3">
      <c r="A162" s="15">
        <v>45768</v>
      </c>
      <c r="B162" s="16">
        <v>10</v>
      </c>
      <c r="C162" s="6">
        <v>25</v>
      </c>
      <c r="D162" s="6">
        <v>5</v>
      </c>
      <c r="E162" s="6">
        <v>2308</v>
      </c>
      <c r="F162" s="6">
        <v>6</v>
      </c>
      <c r="G162" s="2"/>
    </row>
    <row r="163" spans="1:7" x14ac:dyDescent="0.3">
      <c r="A163" s="15">
        <v>45767</v>
      </c>
      <c r="B163" s="16">
        <v>4</v>
      </c>
      <c r="C163" s="6">
        <v>15</v>
      </c>
      <c r="D163" s="6">
        <v>6</v>
      </c>
      <c r="E163" s="6">
        <v>2305</v>
      </c>
      <c r="F163" s="6">
        <v>4</v>
      </c>
      <c r="G163" s="2"/>
    </row>
    <row r="164" spans="1:7" x14ac:dyDescent="0.3">
      <c r="A164" s="15">
        <v>45764</v>
      </c>
      <c r="B164" s="16">
        <v>7</v>
      </c>
      <c r="C164" s="6">
        <v>26</v>
      </c>
      <c r="D164" s="6">
        <v>10</v>
      </c>
      <c r="E164" s="6">
        <v>2288</v>
      </c>
      <c r="F164" s="6">
        <v>14</v>
      </c>
      <c r="G164" s="2"/>
    </row>
    <row r="165" spans="1:7" x14ac:dyDescent="0.3">
      <c r="A165" s="15">
        <v>45763</v>
      </c>
      <c r="B165" s="16">
        <v>11</v>
      </c>
      <c r="C165" s="6">
        <v>30</v>
      </c>
      <c r="D165" s="6">
        <v>5</v>
      </c>
      <c r="E165" s="6">
        <v>2291</v>
      </c>
      <c r="F165" s="6">
        <v>8</v>
      </c>
      <c r="G165" s="2"/>
    </row>
    <row r="166" spans="1:7" x14ac:dyDescent="0.3">
      <c r="A166" s="15">
        <v>45762</v>
      </c>
      <c r="B166" s="16">
        <v>4</v>
      </c>
      <c r="C166" s="6">
        <v>19</v>
      </c>
      <c r="D166" s="6">
        <v>12</v>
      </c>
      <c r="E166" s="6">
        <v>2286</v>
      </c>
      <c r="F166" s="6">
        <v>7</v>
      </c>
      <c r="G166" s="2"/>
    </row>
    <row r="167" spans="1:7" x14ac:dyDescent="0.3">
      <c r="A167" s="15">
        <v>45761</v>
      </c>
      <c r="B167" s="16">
        <v>5</v>
      </c>
      <c r="C167" s="6">
        <v>26</v>
      </c>
      <c r="D167" s="6">
        <v>9</v>
      </c>
      <c r="E167" s="6">
        <v>2282</v>
      </c>
      <c r="F167" s="6">
        <v>13</v>
      </c>
      <c r="G167" s="2"/>
    </row>
    <row r="168" spans="1:7" x14ac:dyDescent="0.3">
      <c r="A168" s="15">
        <v>45760</v>
      </c>
      <c r="B168" s="16">
        <v>5</v>
      </c>
      <c r="C168" s="6">
        <v>26</v>
      </c>
      <c r="D168" s="6">
        <v>10</v>
      </c>
      <c r="E168" s="6">
        <v>2283</v>
      </c>
      <c r="F168" s="6">
        <v>3</v>
      </c>
      <c r="G168" s="2"/>
    </row>
    <row r="169" spans="1:7" x14ac:dyDescent="0.3">
      <c r="A169" s="15">
        <v>45758</v>
      </c>
      <c r="B169" s="16">
        <v>8</v>
      </c>
      <c r="C169" s="6">
        <v>22</v>
      </c>
      <c r="D169" s="6">
        <v>8</v>
      </c>
      <c r="E169" s="6">
        <v>2267</v>
      </c>
      <c r="F169" s="6">
        <v>9</v>
      </c>
      <c r="G169" s="2"/>
    </row>
    <row r="170" spans="1:7" x14ac:dyDescent="0.3">
      <c r="A170" s="15">
        <v>45757</v>
      </c>
      <c r="B170" s="16">
        <v>18</v>
      </c>
      <c r="C170" s="6">
        <v>25</v>
      </c>
      <c r="D170" s="6">
        <v>17</v>
      </c>
      <c r="E170" s="6">
        <v>2265</v>
      </c>
      <c r="F170" s="6">
        <v>6</v>
      </c>
      <c r="G170" s="2"/>
    </row>
    <row r="171" spans="1:7" x14ac:dyDescent="0.3">
      <c r="A171" s="15">
        <v>45756</v>
      </c>
      <c r="B171" s="16">
        <v>6</v>
      </c>
      <c r="C171" s="6">
        <v>19</v>
      </c>
      <c r="D171" s="6">
        <v>10</v>
      </c>
      <c r="E171" s="6">
        <v>2251</v>
      </c>
      <c r="F171" s="6">
        <v>5</v>
      </c>
      <c r="G171" s="2"/>
    </row>
    <row r="172" spans="1:7" x14ac:dyDescent="0.3">
      <c r="A172" s="15">
        <v>45755</v>
      </c>
      <c r="B172" s="16">
        <v>12</v>
      </c>
      <c r="C172" s="6">
        <v>34</v>
      </c>
      <c r="D172" s="6">
        <v>12</v>
      </c>
      <c r="E172" s="6">
        <v>2243</v>
      </c>
      <c r="F172" s="6">
        <v>9</v>
      </c>
      <c r="G172" s="2"/>
    </row>
    <row r="173" spans="1:7" x14ac:dyDescent="0.3">
      <c r="A173" s="15">
        <v>45754</v>
      </c>
      <c r="B173" s="16">
        <v>12</v>
      </c>
      <c r="C173" s="6">
        <v>22</v>
      </c>
      <c r="D173" s="6">
        <v>9</v>
      </c>
      <c r="E173" s="6">
        <v>2237</v>
      </c>
      <c r="F173" s="6">
        <v>5</v>
      </c>
      <c r="G173" s="2"/>
    </row>
    <row r="174" spans="1:7" x14ac:dyDescent="0.3">
      <c r="A174" s="15">
        <v>45753</v>
      </c>
      <c r="B174" s="16">
        <v>7</v>
      </c>
      <c r="C174" s="6">
        <v>14</v>
      </c>
      <c r="D174" s="6">
        <v>7</v>
      </c>
      <c r="E174" s="6">
        <v>2234</v>
      </c>
      <c r="F174" s="6">
        <v>11</v>
      </c>
      <c r="G174" s="2"/>
    </row>
    <row r="175" spans="1:7" x14ac:dyDescent="0.3">
      <c r="A175" s="15">
        <v>45750</v>
      </c>
      <c r="B175" s="16">
        <v>12</v>
      </c>
      <c r="C175" s="6">
        <v>26</v>
      </c>
      <c r="D175" s="6">
        <v>18</v>
      </c>
      <c r="E175" s="6">
        <v>2223</v>
      </c>
      <c r="F175" s="6">
        <v>8</v>
      </c>
      <c r="G175" s="2"/>
    </row>
    <row r="176" spans="1:7" x14ac:dyDescent="0.3">
      <c r="A176" s="15">
        <v>45749</v>
      </c>
      <c r="B176" s="16">
        <v>5</v>
      </c>
      <c r="C176" s="6">
        <v>31</v>
      </c>
      <c r="D176" s="6">
        <v>16</v>
      </c>
      <c r="E176" s="6">
        <v>2208</v>
      </c>
      <c r="F176" s="6">
        <v>3</v>
      </c>
      <c r="G176" s="2"/>
    </row>
    <row r="177" spans="1:7" x14ac:dyDescent="0.3">
      <c r="A177" s="15">
        <v>45748</v>
      </c>
      <c r="B177" s="16">
        <v>17</v>
      </c>
      <c r="C177" s="6">
        <v>36</v>
      </c>
      <c r="D177" s="6">
        <v>7</v>
      </c>
      <c r="E177" s="6">
        <v>2191</v>
      </c>
      <c r="F177" s="6">
        <v>12</v>
      </c>
      <c r="G177" s="2"/>
    </row>
    <row r="178" spans="1:7" x14ac:dyDescent="0.3">
      <c r="A178" s="15">
        <v>45747</v>
      </c>
      <c r="B178" s="16">
        <v>9</v>
      </c>
      <c r="C178" s="6">
        <v>25</v>
      </c>
      <c r="D178" s="6">
        <v>8</v>
      </c>
      <c r="E178" s="6">
        <v>2193</v>
      </c>
      <c r="F178" s="6">
        <v>5</v>
      </c>
      <c r="G178" s="2"/>
    </row>
    <row r="179" spans="1:7" x14ac:dyDescent="0.3">
      <c r="A179" s="15">
        <v>45746</v>
      </c>
      <c r="B179" s="16">
        <v>9</v>
      </c>
      <c r="C179" s="6">
        <v>20</v>
      </c>
      <c r="D179" s="6">
        <v>5</v>
      </c>
      <c r="E179" s="6">
        <v>2188</v>
      </c>
      <c r="F179" s="6">
        <v>2</v>
      </c>
      <c r="G179" s="2"/>
    </row>
    <row r="180" spans="1:7" x14ac:dyDescent="0.3">
      <c r="A180" s="15">
        <v>45743</v>
      </c>
      <c r="B180" s="16">
        <v>1</v>
      </c>
      <c r="C180" s="6">
        <v>19</v>
      </c>
      <c r="D180" s="6">
        <v>13</v>
      </c>
      <c r="E180" s="6">
        <v>2159</v>
      </c>
      <c r="F180" s="6">
        <v>2</v>
      </c>
      <c r="G180" s="2"/>
    </row>
    <row r="181" spans="1:7" x14ac:dyDescent="0.3">
      <c r="A181" s="15">
        <v>45742</v>
      </c>
      <c r="B181" s="16">
        <v>9</v>
      </c>
      <c r="C181" s="6">
        <v>21</v>
      </c>
      <c r="D181" s="6">
        <v>15</v>
      </c>
      <c r="E181" s="6">
        <v>2159</v>
      </c>
      <c r="F181" s="6">
        <v>2</v>
      </c>
      <c r="G181" s="2"/>
    </row>
    <row r="182" spans="1:7" x14ac:dyDescent="0.3">
      <c r="A182" s="15">
        <v>45741</v>
      </c>
      <c r="B182" s="16">
        <v>12</v>
      </c>
      <c r="C182" s="6">
        <v>19</v>
      </c>
      <c r="D182" s="6">
        <v>7</v>
      </c>
      <c r="E182" s="6">
        <v>2145</v>
      </c>
      <c r="F182" s="6">
        <v>6</v>
      </c>
      <c r="G182" s="2"/>
    </row>
    <row r="183" spans="1:7" x14ac:dyDescent="0.3">
      <c r="A183" s="15">
        <v>45740</v>
      </c>
      <c r="B183" s="16">
        <v>7</v>
      </c>
      <c r="C183" s="6">
        <v>13</v>
      </c>
      <c r="D183" s="6">
        <v>11</v>
      </c>
      <c r="E183" s="6">
        <v>2139</v>
      </c>
      <c r="F183" s="6">
        <v>7</v>
      </c>
      <c r="G183" s="2"/>
    </row>
    <row r="184" spans="1:7" x14ac:dyDescent="0.3">
      <c r="A184" s="15">
        <v>45739</v>
      </c>
      <c r="B184" s="16">
        <v>15</v>
      </c>
      <c r="C184" s="6">
        <v>29</v>
      </c>
      <c r="D184" s="6">
        <v>9</v>
      </c>
      <c r="E184" s="6">
        <v>2136</v>
      </c>
      <c r="F184" s="6">
        <v>2</v>
      </c>
      <c r="G184" s="2"/>
    </row>
    <row r="185" spans="1:7" x14ac:dyDescent="0.3">
      <c r="A185" s="15">
        <v>45736</v>
      </c>
      <c r="B185" s="16">
        <v>9</v>
      </c>
      <c r="C185" s="6">
        <v>20</v>
      </c>
      <c r="D185" s="6">
        <v>11</v>
      </c>
      <c r="E185" s="6">
        <v>2124</v>
      </c>
      <c r="F185" s="6">
        <v>7</v>
      </c>
      <c r="G185" s="2"/>
    </row>
    <row r="186" spans="1:7" x14ac:dyDescent="0.3">
      <c r="A186" s="15">
        <v>45735</v>
      </c>
      <c r="B186" s="16">
        <v>6</v>
      </c>
      <c r="C186" s="6">
        <v>22</v>
      </c>
      <c r="D186" s="6">
        <v>14</v>
      </c>
      <c r="E186" s="6">
        <v>2119</v>
      </c>
      <c r="F186" s="6">
        <v>9</v>
      </c>
      <c r="G186" s="2"/>
    </row>
    <row r="187" spans="1:7" x14ac:dyDescent="0.3">
      <c r="A187" s="15">
        <v>45734</v>
      </c>
      <c r="B187" s="16">
        <v>19</v>
      </c>
      <c r="C187" s="6">
        <v>34</v>
      </c>
      <c r="D187" s="6">
        <v>6</v>
      </c>
      <c r="E187" s="6">
        <v>2109</v>
      </c>
      <c r="F187" s="6">
        <v>8</v>
      </c>
      <c r="G187" s="2"/>
    </row>
    <row r="188" spans="1:7" x14ac:dyDescent="0.3">
      <c r="A188" s="15">
        <v>45733</v>
      </c>
      <c r="B188" s="16">
        <v>5</v>
      </c>
      <c r="C188" s="6">
        <v>14</v>
      </c>
      <c r="D188" s="6">
        <v>0</v>
      </c>
      <c r="E188" s="6">
        <v>2111</v>
      </c>
      <c r="F188" s="6">
        <v>8</v>
      </c>
      <c r="G188" s="2"/>
    </row>
    <row r="189" spans="1:7" x14ac:dyDescent="0.3">
      <c r="A189" s="15">
        <v>45732</v>
      </c>
      <c r="B189" s="16">
        <v>1</v>
      </c>
      <c r="C189" s="6">
        <v>9</v>
      </c>
      <c r="D189" s="6">
        <v>8</v>
      </c>
      <c r="E189" s="6">
        <v>2117</v>
      </c>
      <c r="F189" s="6">
        <v>5</v>
      </c>
      <c r="G189" s="2"/>
    </row>
    <row r="190" spans="1:7" x14ac:dyDescent="0.3">
      <c r="A190" s="15">
        <v>45729</v>
      </c>
      <c r="B190" s="16">
        <v>4</v>
      </c>
      <c r="C190" s="6">
        <v>20</v>
      </c>
      <c r="D190" s="6">
        <v>9</v>
      </c>
      <c r="E190" s="6">
        <v>2116</v>
      </c>
      <c r="F190" s="6">
        <v>6</v>
      </c>
      <c r="G190" s="2"/>
    </row>
    <row r="191" spans="1:7" x14ac:dyDescent="0.3">
      <c r="A191" s="15">
        <v>45728</v>
      </c>
      <c r="B191" s="16">
        <v>6</v>
      </c>
      <c r="C191" s="6">
        <v>18</v>
      </c>
      <c r="D191" s="6">
        <v>2</v>
      </c>
      <c r="E191" s="6">
        <v>2113</v>
      </c>
      <c r="F191" s="6">
        <v>8</v>
      </c>
      <c r="G191" s="2"/>
    </row>
    <row r="192" spans="1:7" x14ac:dyDescent="0.3">
      <c r="A192" s="15">
        <v>45727</v>
      </c>
      <c r="B192" s="16">
        <v>3</v>
      </c>
      <c r="C192" s="6">
        <v>11</v>
      </c>
      <c r="D192" s="6">
        <v>7</v>
      </c>
      <c r="E192" s="6">
        <v>2116</v>
      </c>
      <c r="F192" s="6">
        <v>20</v>
      </c>
      <c r="G192" s="2"/>
    </row>
    <row r="193" spans="1:7" x14ac:dyDescent="0.3">
      <c r="A193" s="15">
        <v>45726</v>
      </c>
      <c r="B193" s="16">
        <v>6</v>
      </c>
      <c r="C193" s="6">
        <v>28</v>
      </c>
      <c r="D193" s="6">
        <v>8</v>
      </c>
      <c r="E193" s="6">
        <v>2125</v>
      </c>
      <c r="F193" s="6">
        <v>23</v>
      </c>
      <c r="G193" s="2"/>
    </row>
    <row r="194" spans="1:7" x14ac:dyDescent="0.3">
      <c r="A194" s="15">
        <v>45725</v>
      </c>
      <c r="B194" s="16">
        <v>12</v>
      </c>
      <c r="C194" s="6">
        <v>25</v>
      </c>
      <c r="D194" s="6">
        <v>15</v>
      </c>
      <c r="E194" s="6">
        <v>2137</v>
      </c>
      <c r="F194" s="6">
        <v>30</v>
      </c>
      <c r="G194" s="2"/>
    </row>
    <row r="195" spans="1:7" x14ac:dyDescent="0.3">
      <c r="A195" s="15">
        <v>45722</v>
      </c>
      <c r="B195" s="16">
        <v>7</v>
      </c>
      <c r="C195" s="6">
        <v>27</v>
      </c>
      <c r="D195" s="6">
        <v>6</v>
      </c>
      <c r="E195" s="6">
        <v>2218</v>
      </c>
      <c r="F195" s="6">
        <v>33</v>
      </c>
      <c r="G195" s="2"/>
    </row>
    <row r="196" spans="1:7" x14ac:dyDescent="0.3">
      <c r="A196" s="15">
        <v>45721</v>
      </c>
      <c r="B196" s="16">
        <v>5</v>
      </c>
      <c r="C196" s="6">
        <v>20</v>
      </c>
      <c r="D196" s="6">
        <v>4</v>
      </c>
      <c r="E196" s="6">
        <v>2238</v>
      </c>
      <c r="F196" s="6">
        <v>40</v>
      </c>
      <c r="G196" s="2"/>
    </row>
    <row r="197" spans="1:7" x14ac:dyDescent="0.3">
      <c r="A197" s="15">
        <v>45720</v>
      </c>
      <c r="B197" s="16">
        <v>4</v>
      </c>
      <c r="C197" s="6">
        <v>25</v>
      </c>
      <c r="D197" s="6">
        <v>10</v>
      </c>
      <c r="E197" s="6">
        <v>2272</v>
      </c>
      <c r="F197" s="6">
        <v>30</v>
      </c>
      <c r="G197" s="2"/>
    </row>
    <row r="198" spans="1:7" x14ac:dyDescent="0.3">
      <c r="A198" s="15">
        <v>45719</v>
      </c>
      <c r="B198" s="16">
        <v>8</v>
      </c>
      <c r="C198" s="6">
        <v>29</v>
      </c>
      <c r="D198" s="6">
        <v>18</v>
      </c>
      <c r="E198" s="6">
        <v>2287</v>
      </c>
      <c r="F198" s="6">
        <v>25</v>
      </c>
      <c r="G198" s="2"/>
    </row>
    <row r="199" spans="1:7" x14ac:dyDescent="0.3">
      <c r="A199" s="15">
        <v>45718</v>
      </c>
      <c r="B199" s="16">
        <v>12</v>
      </c>
      <c r="C199" s="6">
        <v>24</v>
      </c>
      <c r="D199" s="6">
        <v>4</v>
      </c>
      <c r="E199" s="6">
        <v>2297</v>
      </c>
      <c r="F199" s="6">
        <v>31</v>
      </c>
      <c r="G199" s="2"/>
    </row>
    <row r="200" spans="1:7" x14ac:dyDescent="0.3">
      <c r="A200" s="15">
        <v>45715</v>
      </c>
      <c r="B200" s="16">
        <v>10</v>
      </c>
      <c r="C200" s="6">
        <v>15</v>
      </c>
      <c r="D200" s="6">
        <v>17</v>
      </c>
      <c r="E200" s="6">
        <v>2391</v>
      </c>
      <c r="F200" s="6">
        <v>37</v>
      </c>
      <c r="G200" s="2"/>
    </row>
    <row r="201" spans="1:7" x14ac:dyDescent="0.3">
      <c r="A201" s="15">
        <v>45714</v>
      </c>
      <c r="B201" s="16">
        <v>12</v>
      </c>
      <c r="C201" s="6">
        <v>21</v>
      </c>
      <c r="D201" s="6">
        <v>1</v>
      </c>
      <c r="E201" s="6">
        <v>2411</v>
      </c>
      <c r="F201" s="6">
        <v>23</v>
      </c>
      <c r="G201" s="2"/>
    </row>
    <row r="202" spans="1:7" x14ac:dyDescent="0.3">
      <c r="A202" s="15">
        <v>45713</v>
      </c>
      <c r="B202" s="16">
        <v>11</v>
      </c>
      <c r="C202" s="6">
        <v>7</v>
      </c>
      <c r="D202" s="6">
        <v>7</v>
      </c>
      <c r="E202" s="6">
        <v>2413</v>
      </c>
      <c r="F202" s="6">
        <v>23</v>
      </c>
      <c r="G202" s="2"/>
    </row>
    <row r="203" spans="1:7" x14ac:dyDescent="0.3">
      <c r="A203" s="15">
        <v>45712</v>
      </c>
      <c r="B203" s="16">
        <v>20</v>
      </c>
      <c r="C203" s="6">
        <v>22</v>
      </c>
      <c r="D203" s="6">
        <v>14</v>
      </c>
      <c r="E203" s="6">
        <v>2413</v>
      </c>
      <c r="F203" s="6">
        <v>24</v>
      </c>
      <c r="G203" s="2"/>
    </row>
    <row r="204" spans="1:7" x14ac:dyDescent="0.3">
      <c r="A204" s="15">
        <v>45711</v>
      </c>
      <c r="B204" s="16">
        <v>7</v>
      </c>
      <c r="C204" s="6">
        <v>16</v>
      </c>
      <c r="D204" s="6">
        <v>8</v>
      </c>
      <c r="E204" s="6">
        <v>2423</v>
      </c>
      <c r="F204" s="6">
        <v>35</v>
      </c>
      <c r="G204" s="2"/>
    </row>
    <row r="205" spans="1:7" x14ac:dyDescent="0.3">
      <c r="A205" s="15">
        <v>45708</v>
      </c>
      <c r="B205" s="16">
        <v>13</v>
      </c>
      <c r="C205" s="6">
        <v>25</v>
      </c>
      <c r="D205" s="6">
        <v>15</v>
      </c>
      <c r="E205" s="6">
        <v>2520</v>
      </c>
      <c r="F205" s="6">
        <v>32</v>
      </c>
      <c r="G205" s="2"/>
    </row>
    <row r="206" spans="1:7" x14ac:dyDescent="0.3">
      <c r="A206" s="15">
        <v>45707</v>
      </c>
      <c r="B206" s="16">
        <v>12</v>
      </c>
      <c r="C206" s="6">
        <v>17</v>
      </c>
      <c r="D206" s="6">
        <v>17</v>
      </c>
      <c r="E206" s="6">
        <v>2528</v>
      </c>
      <c r="F206" s="6">
        <v>19</v>
      </c>
      <c r="G206" s="2"/>
    </row>
    <row r="207" spans="1:7" x14ac:dyDescent="0.3">
      <c r="A207" s="15">
        <v>45706</v>
      </c>
      <c r="B207" s="16">
        <v>18</v>
      </c>
      <c r="C207" s="6">
        <v>19</v>
      </c>
      <c r="D207" s="6">
        <v>11</v>
      </c>
      <c r="E207" s="6">
        <v>2536</v>
      </c>
      <c r="F207" s="6">
        <v>9</v>
      </c>
      <c r="G207" s="2"/>
    </row>
    <row r="208" spans="1:7" x14ac:dyDescent="0.3">
      <c r="A208" s="15">
        <v>45705</v>
      </c>
      <c r="B208" s="16">
        <v>8</v>
      </c>
      <c r="C208" s="6">
        <v>17</v>
      </c>
      <c r="D208" s="6">
        <v>14</v>
      </c>
      <c r="E208" s="6">
        <v>2532</v>
      </c>
      <c r="F208" s="6">
        <v>15</v>
      </c>
      <c r="G208" s="2"/>
    </row>
    <row r="209" spans="1:7" x14ac:dyDescent="0.3">
      <c r="A209" s="15">
        <v>45701</v>
      </c>
      <c r="B209" s="16">
        <v>15</v>
      </c>
      <c r="C209" s="6">
        <v>10</v>
      </c>
      <c r="D209" s="6">
        <v>23</v>
      </c>
      <c r="E209" s="6">
        <v>2703</v>
      </c>
      <c r="F209" s="6">
        <v>72</v>
      </c>
      <c r="G209" s="2"/>
    </row>
    <row r="210" spans="1:7" x14ac:dyDescent="0.3">
      <c r="A210" s="15">
        <v>45700</v>
      </c>
      <c r="B210" s="16">
        <v>16</v>
      </c>
      <c r="C210" s="6">
        <v>20</v>
      </c>
      <c r="D210" s="6">
        <v>20</v>
      </c>
      <c r="E210" s="6">
        <v>2752</v>
      </c>
      <c r="F210" s="6">
        <v>66</v>
      </c>
      <c r="G210" s="2"/>
    </row>
    <row r="211" spans="1:7" x14ac:dyDescent="0.3">
      <c r="A211" s="15">
        <v>45699</v>
      </c>
      <c r="B211" s="16">
        <v>11</v>
      </c>
      <c r="C211" s="6">
        <v>22</v>
      </c>
      <c r="D211" s="6">
        <v>12</v>
      </c>
      <c r="E211" s="6">
        <v>2799</v>
      </c>
      <c r="F211" s="6">
        <v>50</v>
      </c>
      <c r="G211" s="2"/>
    </row>
    <row r="212" spans="1:7" x14ac:dyDescent="0.3">
      <c r="A212" s="15">
        <v>45698</v>
      </c>
      <c r="B212" s="16">
        <v>16</v>
      </c>
      <c r="C212" s="6">
        <v>18</v>
      </c>
      <c r="D212" s="6">
        <v>15</v>
      </c>
      <c r="E212" s="6">
        <v>2834</v>
      </c>
      <c r="F212" s="6">
        <v>63</v>
      </c>
      <c r="G212" s="2"/>
    </row>
    <row r="213" spans="1:7" x14ac:dyDescent="0.3">
      <c r="A213" s="15">
        <v>45697</v>
      </c>
      <c r="B213" s="16">
        <v>15</v>
      </c>
      <c r="C213" s="6">
        <v>13</v>
      </c>
      <c r="D213" s="6">
        <v>23</v>
      </c>
      <c r="E213" s="6">
        <v>2878</v>
      </c>
      <c r="F213" s="6">
        <v>99</v>
      </c>
      <c r="G213" s="2"/>
    </row>
    <row r="214" spans="1:7" x14ac:dyDescent="0.3">
      <c r="A214" s="15">
        <v>45694</v>
      </c>
      <c r="B214" s="16">
        <v>25</v>
      </c>
      <c r="C214" s="6">
        <v>32</v>
      </c>
      <c r="D214" s="6">
        <v>27</v>
      </c>
      <c r="E214" s="6">
        <v>3181</v>
      </c>
      <c r="F214" s="6">
        <v>145</v>
      </c>
      <c r="G214" s="2"/>
    </row>
    <row r="215" spans="1:7" x14ac:dyDescent="0.3">
      <c r="A215" s="15">
        <v>45693</v>
      </c>
      <c r="B215" s="16">
        <v>26</v>
      </c>
      <c r="C215" s="6">
        <v>36</v>
      </c>
      <c r="D215" s="6">
        <v>36</v>
      </c>
      <c r="E215" s="6">
        <v>3290</v>
      </c>
      <c r="F215" s="6">
        <v>104</v>
      </c>
      <c r="G215" s="2"/>
    </row>
    <row r="216" spans="1:7" x14ac:dyDescent="0.3">
      <c r="A216" s="15">
        <v>45692</v>
      </c>
      <c r="B216" s="16">
        <v>34</v>
      </c>
      <c r="C216" s="6">
        <v>54</v>
      </c>
      <c r="D216" s="6">
        <v>29</v>
      </c>
      <c r="E216" s="6">
        <v>3359</v>
      </c>
      <c r="F216" s="6">
        <v>74</v>
      </c>
      <c r="G216" s="2"/>
    </row>
    <row r="217" spans="1:7" x14ac:dyDescent="0.3">
      <c r="A217" s="15">
        <v>45691</v>
      </c>
      <c r="B217" s="16">
        <v>23</v>
      </c>
      <c r="C217" s="6">
        <v>45</v>
      </c>
      <c r="D217" s="6">
        <v>11</v>
      </c>
      <c r="E217" s="6">
        <v>3403</v>
      </c>
      <c r="F217" s="6">
        <v>102</v>
      </c>
      <c r="G217" s="2"/>
    </row>
    <row r="218" spans="1:7" x14ac:dyDescent="0.3">
      <c r="A218" s="15">
        <v>45690</v>
      </c>
      <c r="B218" s="16">
        <v>20</v>
      </c>
      <c r="C218" s="6">
        <v>22</v>
      </c>
      <c r="D218" s="6">
        <v>41</v>
      </c>
      <c r="E218" s="6">
        <v>3483</v>
      </c>
      <c r="F218" s="6">
        <v>168</v>
      </c>
      <c r="G218" s="2"/>
    </row>
    <row r="219" spans="1:7" x14ac:dyDescent="0.3">
      <c r="A219" s="15">
        <v>45687</v>
      </c>
      <c r="B219" s="16">
        <v>47</v>
      </c>
      <c r="C219" s="6">
        <v>42</v>
      </c>
      <c r="D219" s="6">
        <v>47</v>
      </c>
      <c r="E219" s="6">
        <v>3923</v>
      </c>
      <c r="F219" s="6">
        <v>159</v>
      </c>
      <c r="G219" s="2"/>
    </row>
    <row r="220" spans="1:7" x14ac:dyDescent="0.3">
      <c r="A220" s="15">
        <v>45686</v>
      </c>
      <c r="B220" s="16">
        <v>32</v>
      </c>
      <c r="C220" s="6">
        <v>50</v>
      </c>
      <c r="D220" s="6">
        <v>39</v>
      </c>
      <c r="E220" s="6">
        <v>4036</v>
      </c>
      <c r="F220" s="6">
        <v>99</v>
      </c>
      <c r="G220" s="2"/>
    </row>
    <row r="221" spans="1:7" x14ac:dyDescent="0.3">
      <c r="A221" s="15">
        <v>45685</v>
      </c>
      <c r="B221" s="16">
        <v>32</v>
      </c>
      <c r="C221" s="6">
        <v>49</v>
      </c>
      <c r="D221" s="6">
        <v>39</v>
      </c>
      <c r="E221" s="6">
        <v>4096</v>
      </c>
      <c r="F221" s="6">
        <v>101</v>
      </c>
      <c r="G221" s="2"/>
    </row>
    <row r="222" spans="1:7" x14ac:dyDescent="0.3">
      <c r="A222" s="15">
        <v>45684</v>
      </c>
      <c r="B222" s="16">
        <v>33</v>
      </c>
      <c r="C222" s="6">
        <v>53</v>
      </c>
      <c r="D222" s="6">
        <v>34</v>
      </c>
      <c r="E222" s="6">
        <v>4161</v>
      </c>
      <c r="F222" s="6">
        <v>127</v>
      </c>
      <c r="G222" s="2"/>
    </row>
    <row r="223" spans="1:7" x14ac:dyDescent="0.3">
      <c r="A223" s="15">
        <v>45683</v>
      </c>
      <c r="B223" s="16">
        <v>29</v>
      </c>
      <c r="C223" s="6">
        <v>51</v>
      </c>
      <c r="D223" s="6">
        <v>11</v>
      </c>
      <c r="E223" s="6">
        <v>4241</v>
      </c>
      <c r="F223" s="6">
        <v>182</v>
      </c>
      <c r="G223" s="2"/>
    </row>
    <row r="224" spans="1:7" x14ac:dyDescent="0.3">
      <c r="A224" s="15">
        <v>45680</v>
      </c>
      <c r="B224" s="16">
        <v>91</v>
      </c>
      <c r="C224" s="6">
        <v>75</v>
      </c>
      <c r="D224" s="6">
        <v>97</v>
      </c>
      <c r="E224" s="6">
        <v>4621</v>
      </c>
      <c r="F224" s="6">
        <v>174</v>
      </c>
      <c r="G224" s="2"/>
    </row>
    <row r="225" spans="1:7" x14ac:dyDescent="0.3">
      <c r="A225" s="15">
        <v>45679</v>
      </c>
      <c r="B225" s="16">
        <v>62</v>
      </c>
      <c r="C225" s="6">
        <v>97</v>
      </c>
      <c r="D225" s="6">
        <v>52</v>
      </c>
      <c r="E225" s="6">
        <v>4717</v>
      </c>
      <c r="F225" s="6">
        <v>83</v>
      </c>
      <c r="G225" s="2"/>
    </row>
    <row r="226" spans="1:7" x14ac:dyDescent="0.3">
      <c r="A226" s="15">
        <v>45678</v>
      </c>
      <c r="B226" s="16">
        <v>59</v>
      </c>
      <c r="C226" s="6">
        <v>64</v>
      </c>
      <c r="D226" s="6">
        <v>117</v>
      </c>
      <c r="E226" s="6">
        <v>4728</v>
      </c>
      <c r="F226" s="6">
        <v>54</v>
      </c>
      <c r="G226" s="2"/>
    </row>
    <row r="227" spans="1:7" x14ac:dyDescent="0.3">
      <c r="A227" s="15">
        <v>45677</v>
      </c>
      <c r="B227" s="16">
        <v>84</v>
      </c>
      <c r="C227" s="6">
        <v>118</v>
      </c>
      <c r="D227" s="6">
        <v>136</v>
      </c>
      <c r="E227" s="6">
        <v>4638</v>
      </c>
      <c r="F227" s="6">
        <v>127</v>
      </c>
      <c r="G227" s="2"/>
    </row>
    <row r="228" spans="1:7" x14ac:dyDescent="0.3">
      <c r="A228" s="15">
        <v>45676</v>
      </c>
      <c r="B228" s="16">
        <v>86</v>
      </c>
      <c r="C228" s="6">
        <v>152</v>
      </c>
      <c r="D228" s="6">
        <v>168</v>
      </c>
      <c r="E228" s="6">
        <v>4628</v>
      </c>
      <c r="F228" s="6">
        <v>176</v>
      </c>
      <c r="G228" s="2"/>
    </row>
    <row r="229" spans="1:7" x14ac:dyDescent="0.3">
      <c r="A229" s="15">
        <v>45673</v>
      </c>
      <c r="B229" s="16">
        <v>106</v>
      </c>
      <c r="C229" s="6">
        <v>196</v>
      </c>
      <c r="D229" s="6">
        <v>131</v>
      </c>
      <c r="E229" s="6">
        <v>4881</v>
      </c>
      <c r="F229" s="6">
        <v>159</v>
      </c>
      <c r="G229" s="2"/>
    </row>
    <row r="230" spans="1:7" x14ac:dyDescent="0.3">
      <c r="A230" s="15">
        <v>45672</v>
      </c>
      <c r="B230" s="16">
        <v>113</v>
      </c>
      <c r="C230" s="6">
        <v>162</v>
      </c>
      <c r="D230" s="6">
        <v>107</v>
      </c>
      <c r="E230" s="6">
        <v>4903</v>
      </c>
      <c r="F230" s="6">
        <v>164</v>
      </c>
      <c r="G230" s="2"/>
    </row>
    <row r="231" spans="1:7" x14ac:dyDescent="0.3">
      <c r="A231" s="15">
        <v>45671</v>
      </c>
      <c r="B231" s="16">
        <v>92</v>
      </c>
      <c r="C231" s="6">
        <v>124</v>
      </c>
      <c r="D231" s="6">
        <v>93</v>
      </c>
      <c r="E231" s="6">
        <v>4957</v>
      </c>
      <c r="F231" s="6">
        <v>139</v>
      </c>
      <c r="G231" s="2"/>
    </row>
    <row r="232" spans="1:7" x14ac:dyDescent="0.3">
      <c r="A232" s="15">
        <v>45670</v>
      </c>
      <c r="B232" s="16">
        <v>68</v>
      </c>
      <c r="C232" s="6">
        <v>107</v>
      </c>
      <c r="D232" s="6">
        <v>102</v>
      </c>
      <c r="E232" s="6">
        <v>5019</v>
      </c>
      <c r="F232" s="6">
        <v>181</v>
      </c>
      <c r="G232" s="2"/>
    </row>
    <row r="233" spans="1:7" x14ac:dyDescent="0.3">
      <c r="A233" s="15">
        <v>45669</v>
      </c>
      <c r="B233" s="16">
        <v>74</v>
      </c>
      <c r="C233" s="6">
        <v>103</v>
      </c>
      <c r="D233" s="6">
        <v>80</v>
      </c>
      <c r="E233" s="6">
        <v>5092</v>
      </c>
      <c r="F233" s="6">
        <v>235</v>
      </c>
      <c r="G233" s="2"/>
    </row>
    <row r="234" spans="1:7" x14ac:dyDescent="0.3">
      <c r="A234" s="15">
        <v>45666</v>
      </c>
      <c r="B234" s="16">
        <v>56</v>
      </c>
      <c r="C234" s="6">
        <v>82</v>
      </c>
      <c r="D234" s="6">
        <v>68</v>
      </c>
      <c r="E234" s="6">
        <v>5507</v>
      </c>
      <c r="F234" s="6">
        <v>164</v>
      </c>
      <c r="G234" s="2"/>
    </row>
    <row r="235" spans="1:7" x14ac:dyDescent="0.3">
      <c r="A235" s="15">
        <v>45665</v>
      </c>
      <c r="B235" s="16">
        <v>38</v>
      </c>
      <c r="C235" s="6">
        <v>80</v>
      </c>
      <c r="D235" s="6">
        <v>82</v>
      </c>
      <c r="E235" s="6">
        <v>5605</v>
      </c>
      <c r="F235" s="6">
        <v>184</v>
      </c>
      <c r="G235" s="2"/>
    </row>
    <row r="236" spans="1:7" x14ac:dyDescent="0.3">
      <c r="A236" s="15">
        <v>45664</v>
      </c>
      <c r="B236" s="16">
        <v>65</v>
      </c>
      <c r="C236" s="6">
        <v>83</v>
      </c>
      <c r="D236" s="6">
        <v>65</v>
      </c>
      <c r="E236" s="6">
        <v>5703</v>
      </c>
      <c r="F236" s="6">
        <v>133</v>
      </c>
      <c r="G236" s="2"/>
    </row>
    <row r="237" spans="1:7" x14ac:dyDescent="0.3">
      <c r="A237" s="15">
        <v>45663</v>
      </c>
      <c r="B237" s="16">
        <v>41</v>
      </c>
      <c r="C237" s="6">
        <v>60</v>
      </c>
      <c r="D237" s="6">
        <v>71</v>
      </c>
      <c r="E237" s="6">
        <v>5769</v>
      </c>
      <c r="F237" s="6">
        <v>190</v>
      </c>
      <c r="G237" s="2"/>
    </row>
    <row r="238" spans="1:7" x14ac:dyDescent="0.3">
      <c r="A238" s="15">
        <v>45662</v>
      </c>
      <c r="B238" s="16">
        <v>43</v>
      </c>
      <c r="C238" s="6">
        <v>73</v>
      </c>
      <c r="D238" s="6">
        <v>64</v>
      </c>
      <c r="E238" s="6">
        <v>5882</v>
      </c>
      <c r="F238" s="6">
        <v>185</v>
      </c>
      <c r="G238" s="2"/>
    </row>
    <row r="239" spans="1:7" x14ac:dyDescent="0.3">
      <c r="A239" s="15">
        <v>45659</v>
      </c>
      <c r="B239" s="16">
        <v>35</v>
      </c>
      <c r="C239" s="6">
        <v>70</v>
      </c>
      <c r="D239" s="6">
        <v>53</v>
      </c>
      <c r="E239" s="6">
        <v>6292</v>
      </c>
      <c r="F239" s="6">
        <v>170</v>
      </c>
      <c r="G239" s="2"/>
    </row>
    <row r="240" spans="1:7" x14ac:dyDescent="0.3">
      <c r="A240" s="15">
        <v>45658</v>
      </c>
      <c r="B240" s="16">
        <v>25</v>
      </c>
      <c r="C240" s="6">
        <v>66</v>
      </c>
      <c r="D240" s="6">
        <v>94</v>
      </c>
      <c r="E240" s="6">
        <v>6405</v>
      </c>
      <c r="F240" s="6">
        <v>144</v>
      </c>
      <c r="G240" s="2"/>
    </row>
    <row r="241" spans="1:7" x14ac:dyDescent="0.3">
      <c r="A241" s="15">
        <v>45656</v>
      </c>
      <c r="B241" s="16">
        <v>99</v>
      </c>
      <c r="C241" s="6">
        <v>156</v>
      </c>
      <c r="D241" s="6">
        <v>139</v>
      </c>
      <c r="E241" s="6">
        <v>6454</v>
      </c>
      <c r="F241" s="6">
        <v>177</v>
      </c>
      <c r="G241" s="2"/>
    </row>
    <row r="242" spans="1:7" x14ac:dyDescent="0.3">
      <c r="A242" s="15">
        <v>45655</v>
      </c>
      <c r="B242" s="16">
        <v>107</v>
      </c>
      <c r="C242" s="6">
        <v>170</v>
      </c>
      <c r="D242" s="6">
        <v>133</v>
      </c>
      <c r="E242" s="6">
        <v>6465</v>
      </c>
      <c r="F242" s="6">
        <v>216</v>
      </c>
      <c r="G242" s="2"/>
    </row>
    <row r="243" spans="1:7" x14ac:dyDescent="0.3">
      <c r="A243" s="15">
        <v>45652</v>
      </c>
      <c r="B243" s="16">
        <v>80</v>
      </c>
      <c r="C243" s="6">
        <v>122</v>
      </c>
      <c r="D243" s="6">
        <v>152</v>
      </c>
      <c r="E243" s="6">
        <v>6707</v>
      </c>
      <c r="F243" s="6">
        <v>135</v>
      </c>
      <c r="G243" s="2"/>
    </row>
    <row r="244" spans="1:7" x14ac:dyDescent="0.3">
      <c r="A244" s="15">
        <v>45651</v>
      </c>
      <c r="B244" s="16">
        <v>57</v>
      </c>
      <c r="C244" s="6">
        <v>162</v>
      </c>
      <c r="D244" s="6">
        <v>193</v>
      </c>
      <c r="E244" s="6">
        <v>6689</v>
      </c>
      <c r="F244" s="6">
        <v>107</v>
      </c>
      <c r="G244" s="2"/>
    </row>
    <row r="245" spans="1:7" x14ac:dyDescent="0.3">
      <c r="A245" s="15">
        <v>45650</v>
      </c>
      <c r="B245" s="16">
        <v>161</v>
      </c>
      <c r="C245" s="6">
        <v>304</v>
      </c>
      <c r="D245" s="6">
        <v>211</v>
      </c>
      <c r="E245" s="6">
        <v>6622</v>
      </c>
      <c r="F245" s="6">
        <v>155</v>
      </c>
      <c r="G245" s="2"/>
    </row>
    <row r="246" spans="1:7" x14ac:dyDescent="0.3">
      <c r="A246" s="15">
        <v>45649</v>
      </c>
      <c r="B246" s="16">
        <v>205</v>
      </c>
      <c r="C246" s="6">
        <v>294</v>
      </c>
      <c r="D246" s="6">
        <v>177</v>
      </c>
      <c r="E246" s="6">
        <v>6548</v>
      </c>
      <c r="F246" s="6">
        <v>231</v>
      </c>
      <c r="G246" s="2"/>
    </row>
    <row r="247" spans="1:7" x14ac:dyDescent="0.3">
      <c r="A247" s="15">
        <v>45648</v>
      </c>
      <c r="B247" s="16">
        <v>100</v>
      </c>
      <c r="C247" s="6">
        <v>255</v>
      </c>
      <c r="D247" s="6">
        <v>236</v>
      </c>
      <c r="E247" s="6">
        <v>6595</v>
      </c>
      <c r="F247" s="6">
        <v>268</v>
      </c>
      <c r="G247" s="2"/>
    </row>
    <row r="248" spans="1:7" x14ac:dyDescent="0.3">
      <c r="A248" s="15">
        <v>45645</v>
      </c>
      <c r="B248" s="16">
        <v>269</v>
      </c>
      <c r="C248" s="6">
        <v>412</v>
      </c>
      <c r="D248" s="6">
        <v>204</v>
      </c>
      <c r="E248" s="6">
        <v>6600</v>
      </c>
      <c r="F248" s="6">
        <v>238</v>
      </c>
      <c r="G248" s="2"/>
    </row>
    <row r="249" spans="1:7" x14ac:dyDescent="0.3">
      <c r="A249" s="15">
        <v>45644</v>
      </c>
      <c r="B249" s="16">
        <v>168</v>
      </c>
      <c r="C249" s="6">
        <v>285</v>
      </c>
      <c r="D249" s="6">
        <v>210</v>
      </c>
      <c r="E249" s="6">
        <v>6598</v>
      </c>
      <c r="F249" s="6">
        <v>134</v>
      </c>
      <c r="G249" s="2"/>
    </row>
    <row r="250" spans="1:7" x14ac:dyDescent="0.3">
      <c r="A250" s="15">
        <v>45643</v>
      </c>
      <c r="B250" s="16">
        <v>187</v>
      </c>
      <c r="C250" s="6">
        <v>310</v>
      </c>
      <c r="D250" s="6">
        <v>247</v>
      </c>
      <c r="E250" s="6">
        <v>6506</v>
      </c>
      <c r="F250" s="6">
        <v>151</v>
      </c>
      <c r="G250" s="2"/>
    </row>
    <row r="251" spans="1:7" x14ac:dyDescent="0.3">
      <c r="A251" s="15">
        <v>45642</v>
      </c>
      <c r="B251" s="16">
        <v>133</v>
      </c>
      <c r="C251" s="6">
        <v>287</v>
      </c>
      <c r="D251" s="6">
        <v>189</v>
      </c>
      <c r="E251" s="6">
        <v>6454</v>
      </c>
      <c r="F251" s="6">
        <v>149</v>
      </c>
      <c r="G251" s="2"/>
    </row>
    <row r="252" spans="1:7" x14ac:dyDescent="0.3">
      <c r="A252" s="15">
        <v>45641</v>
      </c>
      <c r="B252" s="16">
        <v>180</v>
      </c>
      <c r="C252" s="6">
        <v>337</v>
      </c>
      <c r="D252" s="6">
        <v>219</v>
      </c>
      <c r="E252" s="6">
        <v>6408</v>
      </c>
      <c r="F252" s="6">
        <v>224</v>
      </c>
      <c r="G252" s="2"/>
    </row>
    <row r="253" spans="1:7" x14ac:dyDescent="0.3">
      <c r="A253" s="15">
        <v>45638</v>
      </c>
      <c r="B253" s="16">
        <v>153</v>
      </c>
      <c r="C253" s="6">
        <v>253</v>
      </c>
      <c r="D253" s="6">
        <v>286</v>
      </c>
      <c r="E253" s="6">
        <v>6481</v>
      </c>
      <c r="F253" s="6">
        <v>194</v>
      </c>
      <c r="G253" s="2"/>
    </row>
    <row r="254" spans="1:7" x14ac:dyDescent="0.3">
      <c r="A254" s="15">
        <v>45637</v>
      </c>
      <c r="B254" s="16">
        <v>209</v>
      </c>
      <c r="C254" s="6">
        <v>353</v>
      </c>
      <c r="D254" s="6">
        <v>232</v>
      </c>
      <c r="E254" s="6">
        <v>6402</v>
      </c>
      <c r="F254" s="6">
        <v>152</v>
      </c>
      <c r="G254" s="2"/>
    </row>
    <row r="255" spans="1:7" x14ac:dyDescent="0.3">
      <c r="A255" s="15">
        <v>45636</v>
      </c>
      <c r="B255" s="16">
        <v>167</v>
      </c>
      <c r="C255" s="6">
        <v>326</v>
      </c>
      <c r="D255" s="6">
        <v>213</v>
      </c>
      <c r="E255" s="6">
        <v>6310</v>
      </c>
      <c r="F255" s="6">
        <v>149</v>
      </c>
      <c r="G255" s="2"/>
    </row>
    <row r="256" spans="1:7" x14ac:dyDescent="0.3">
      <c r="A256" s="15">
        <v>45635</v>
      </c>
      <c r="B256" s="16">
        <v>224</v>
      </c>
      <c r="C256" s="6">
        <v>315</v>
      </c>
      <c r="D256" s="6">
        <v>152</v>
      </c>
      <c r="E256" s="6">
        <v>6268</v>
      </c>
      <c r="F256" s="6">
        <v>174</v>
      </c>
      <c r="G256" s="2"/>
    </row>
    <row r="257" spans="1:7" x14ac:dyDescent="0.3">
      <c r="A257" s="15">
        <v>45634</v>
      </c>
      <c r="B257" s="16">
        <v>132</v>
      </c>
      <c r="C257" s="6">
        <v>243</v>
      </c>
      <c r="D257" s="6">
        <v>183</v>
      </c>
      <c r="E257" s="6">
        <v>6286</v>
      </c>
      <c r="F257" s="6">
        <v>172</v>
      </c>
      <c r="G257" s="2"/>
    </row>
    <row r="258" spans="1:7" x14ac:dyDescent="0.3">
      <c r="A258" s="15">
        <v>45631</v>
      </c>
      <c r="B258" s="16">
        <v>218</v>
      </c>
      <c r="C258" s="6">
        <v>283</v>
      </c>
      <c r="D258" s="6">
        <v>208</v>
      </c>
      <c r="E258" s="6">
        <v>6310</v>
      </c>
      <c r="F258" s="6">
        <v>150</v>
      </c>
      <c r="G258" s="2"/>
    </row>
    <row r="259" spans="1:7" x14ac:dyDescent="0.3">
      <c r="A259" s="15">
        <v>45630</v>
      </c>
      <c r="B259" s="16">
        <v>118</v>
      </c>
      <c r="C259" s="6">
        <v>245</v>
      </c>
      <c r="D259" s="6">
        <v>160</v>
      </c>
      <c r="E259" s="6">
        <v>6269</v>
      </c>
      <c r="F259" s="6">
        <v>115</v>
      </c>
      <c r="G259" s="2"/>
    </row>
    <row r="260" spans="1:7" x14ac:dyDescent="0.3">
      <c r="A260" s="15">
        <v>45629</v>
      </c>
      <c r="B260" s="16">
        <v>81</v>
      </c>
      <c r="C260" s="6">
        <v>230</v>
      </c>
      <c r="D260" s="6">
        <v>242</v>
      </c>
      <c r="E260" s="6">
        <v>6192</v>
      </c>
      <c r="F260" s="6">
        <v>107</v>
      </c>
      <c r="G260" s="2"/>
    </row>
    <row r="261" spans="1:7" x14ac:dyDescent="0.3">
      <c r="A261" s="15">
        <v>45628</v>
      </c>
      <c r="B261" s="16">
        <v>236</v>
      </c>
      <c r="C261" s="6">
        <v>330</v>
      </c>
      <c r="D261" s="6">
        <v>222</v>
      </c>
      <c r="E261" s="6">
        <v>6061</v>
      </c>
      <c r="F261" s="6">
        <v>115</v>
      </c>
      <c r="G261" s="2"/>
    </row>
    <row r="262" spans="1:7" x14ac:dyDescent="0.3">
      <c r="A262" s="15">
        <v>45627</v>
      </c>
      <c r="B262" s="16">
        <v>196</v>
      </c>
      <c r="C262" s="6">
        <v>306</v>
      </c>
      <c r="D262" s="6">
        <v>187</v>
      </c>
      <c r="E262" s="6">
        <v>5986</v>
      </c>
      <c r="F262" s="6">
        <v>149</v>
      </c>
      <c r="G262" s="2"/>
    </row>
    <row r="263" spans="1:7" x14ac:dyDescent="0.3">
      <c r="A263" s="15">
        <v>45624</v>
      </c>
      <c r="B263" s="16">
        <v>113</v>
      </c>
      <c r="C263" s="6">
        <v>280</v>
      </c>
      <c r="D263" s="6">
        <v>237</v>
      </c>
      <c r="E263" s="6">
        <v>5963</v>
      </c>
      <c r="F263" s="6">
        <v>143</v>
      </c>
      <c r="G263" s="2"/>
    </row>
    <row r="264" spans="1:7" x14ac:dyDescent="0.3">
      <c r="A264" s="15">
        <v>45623</v>
      </c>
      <c r="B264" s="16">
        <v>239</v>
      </c>
      <c r="C264" s="6">
        <v>367</v>
      </c>
      <c r="D264" s="6">
        <v>224</v>
      </c>
      <c r="E264" s="6">
        <v>5862</v>
      </c>
      <c r="F264" s="6">
        <v>211</v>
      </c>
      <c r="G264" s="2"/>
    </row>
    <row r="265" spans="1:7" x14ac:dyDescent="0.3">
      <c r="A265" s="15">
        <v>45622</v>
      </c>
      <c r="B265" s="16">
        <v>152</v>
      </c>
      <c r="C265" s="6">
        <v>272</v>
      </c>
      <c r="D265" s="6">
        <v>214</v>
      </c>
      <c r="E265" s="6">
        <v>5826</v>
      </c>
      <c r="F265" s="6">
        <v>112</v>
      </c>
      <c r="G265" s="2"/>
    </row>
    <row r="266" spans="1:7" x14ac:dyDescent="0.3">
      <c r="A266" s="15">
        <v>45621</v>
      </c>
      <c r="B266" s="16">
        <v>170</v>
      </c>
      <c r="C266" s="6">
        <v>297</v>
      </c>
      <c r="D266" s="6">
        <v>196</v>
      </c>
      <c r="E266" s="6">
        <v>5715</v>
      </c>
      <c r="F266" s="6">
        <v>129</v>
      </c>
      <c r="G266" s="2"/>
    </row>
    <row r="267" spans="1:7" x14ac:dyDescent="0.3">
      <c r="A267" s="15">
        <v>45620</v>
      </c>
      <c r="B267" s="16">
        <v>191</v>
      </c>
      <c r="C267" s="6">
        <v>283</v>
      </c>
      <c r="D267" s="6">
        <v>192</v>
      </c>
      <c r="E267" s="6">
        <v>5664</v>
      </c>
      <c r="F267" s="6">
        <v>207</v>
      </c>
      <c r="G267" s="2"/>
    </row>
    <row r="268" spans="1:7" x14ac:dyDescent="0.3">
      <c r="A268" s="15">
        <v>45617</v>
      </c>
      <c r="B268" s="16">
        <v>109</v>
      </c>
      <c r="C268" s="6">
        <v>214</v>
      </c>
      <c r="D268" s="6">
        <v>173</v>
      </c>
      <c r="E268" s="6">
        <v>5850</v>
      </c>
      <c r="F268" s="6">
        <v>210</v>
      </c>
      <c r="G268" s="2"/>
    </row>
    <row r="269" spans="1:7" x14ac:dyDescent="0.3">
      <c r="A269" s="15">
        <v>45616</v>
      </c>
      <c r="B269" s="16">
        <v>155</v>
      </c>
      <c r="C269" s="6">
        <v>212</v>
      </c>
      <c r="D269" s="6">
        <v>181</v>
      </c>
      <c r="E269" s="6">
        <v>5879</v>
      </c>
      <c r="F269" s="6">
        <v>148</v>
      </c>
      <c r="G269" s="2"/>
    </row>
    <row r="270" spans="1:7" x14ac:dyDescent="0.3">
      <c r="A270" s="15">
        <v>45615</v>
      </c>
      <c r="B270" s="16">
        <v>119</v>
      </c>
      <c r="C270" s="6">
        <v>209</v>
      </c>
      <c r="D270" s="6">
        <v>152</v>
      </c>
      <c r="E270" s="6">
        <v>5844</v>
      </c>
      <c r="F270" s="6">
        <v>146</v>
      </c>
      <c r="G270" s="2"/>
    </row>
    <row r="271" spans="1:7" x14ac:dyDescent="0.3">
      <c r="A271" s="15">
        <v>45614</v>
      </c>
      <c r="B271" s="16">
        <v>143</v>
      </c>
      <c r="C271" s="6">
        <v>203</v>
      </c>
      <c r="D271" s="6">
        <v>163</v>
      </c>
      <c r="E271" s="6">
        <v>5819</v>
      </c>
      <c r="F271" s="6">
        <v>138</v>
      </c>
      <c r="G271" s="2"/>
    </row>
    <row r="272" spans="1:7" x14ac:dyDescent="0.3">
      <c r="A272" s="15">
        <v>45613</v>
      </c>
      <c r="B272" s="16">
        <v>105</v>
      </c>
      <c r="C272" s="6">
        <v>210</v>
      </c>
      <c r="D272" s="6">
        <v>149</v>
      </c>
      <c r="E272" s="6">
        <v>5816</v>
      </c>
      <c r="F272" s="6">
        <v>195</v>
      </c>
      <c r="G272" s="2"/>
    </row>
    <row r="273" spans="1:7" x14ac:dyDescent="0.3">
      <c r="A273" s="15">
        <v>45610</v>
      </c>
      <c r="B273" s="16">
        <v>119</v>
      </c>
      <c r="C273" s="6">
        <v>219</v>
      </c>
      <c r="D273" s="6">
        <v>210</v>
      </c>
      <c r="E273" s="6">
        <v>6025</v>
      </c>
      <c r="F273" s="6">
        <v>172</v>
      </c>
      <c r="G273" s="2"/>
    </row>
    <row r="274" spans="1:7" x14ac:dyDescent="0.3">
      <c r="A274" s="15">
        <v>45609</v>
      </c>
      <c r="B274" s="16">
        <v>148</v>
      </c>
      <c r="C274" s="6">
        <v>245</v>
      </c>
      <c r="D274" s="6">
        <v>175</v>
      </c>
      <c r="E274" s="6">
        <v>5966</v>
      </c>
      <c r="F274" s="6">
        <v>151</v>
      </c>
      <c r="G274" s="2"/>
    </row>
    <row r="275" spans="1:7" x14ac:dyDescent="0.3">
      <c r="A275" s="15">
        <v>45608</v>
      </c>
      <c r="B275" s="16">
        <v>142</v>
      </c>
      <c r="C275" s="6">
        <v>235</v>
      </c>
      <c r="D275" s="6">
        <v>139</v>
      </c>
      <c r="E275" s="6">
        <v>5975</v>
      </c>
      <c r="F275" s="6">
        <v>138</v>
      </c>
      <c r="G275" s="2"/>
    </row>
    <row r="276" spans="1:7" x14ac:dyDescent="0.3">
      <c r="A276" s="15">
        <v>45607</v>
      </c>
      <c r="B276" s="16">
        <v>118</v>
      </c>
      <c r="C276" s="6">
        <v>139</v>
      </c>
      <c r="D276" s="6">
        <v>168</v>
      </c>
      <c r="E276" s="6">
        <v>5963</v>
      </c>
      <c r="F276" s="6">
        <v>145</v>
      </c>
      <c r="G276" s="2"/>
    </row>
    <row r="277" spans="1:7" x14ac:dyDescent="0.3">
      <c r="A277" s="15">
        <v>45603</v>
      </c>
      <c r="B277" s="16">
        <v>125</v>
      </c>
      <c r="C277" s="6">
        <v>232</v>
      </c>
      <c r="D277" s="6">
        <v>192</v>
      </c>
      <c r="E277" s="6">
        <v>6084</v>
      </c>
      <c r="F277" s="6">
        <v>177</v>
      </c>
      <c r="G277" s="2"/>
    </row>
    <row r="278" spans="1:7" x14ac:dyDescent="0.3">
      <c r="A278" s="15">
        <v>45602</v>
      </c>
      <c r="B278" s="16">
        <v>156</v>
      </c>
      <c r="C278" s="6">
        <v>256</v>
      </c>
      <c r="D278" s="6">
        <v>176</v>
      </c>
      <c r="E278" s="6">
        <v>6086</v>
      </c>
      <c r="F278" s="6">
        <v>137</v>
      </c>
      <c r="G278" s="2"/>
    </row>
    <row r="279" spans="1:7" x14ac:dyDescent="0.3">
      <c r="A279" s="15">
        <v>45601</v>
      </c>
      <c r="B279" s="16">
        <v>109</v>
      </c>
      <c r="C279" s="6">
        <v>245</v>
      </c>
      <c r="D279" s="6">
        <v>159</v>
      </c>
      <c r="E279" s="6">
        <v>6045</v>
      </c>
      <c r="F279" s="6">
        <v>126</v>
      </c>
      <c r="G279" s="2"/>
    </row>
    <row r="280" spans="1:7" x14ac:dyDescent="0.3">
      <c r="A280" s="15">
        <v>45600</v>
      </c>
      <c r="B280" s="16">
        <v>167</v>
      </c>
      <c r="C280" s="6">
        <v>209</v>
      </c>
      <c r="D280" s="6">
        <v>157</v>
      </c>
      <c r="E280" s="6">
        <v>6007</v>
      </c>
      <c r="F280" s="6">
        <v>132</v>
      </c>
      <c r="G280" s="2"/>
    </row>
    <row r="281" spans="1:7" x14ac:dyDescent="0.3">
      <c r="A281" s="15">
        <v>45599</v>
      </c>
      <c r="B281" s="16">
        <v>84</v>
      </c>
      <c r="C281" s="6">
        <v>171</v>
      </c>
      <c r="D281" s="6">
        <v>157</v>
      </c>
      <c r="E281" s="6">
        <v>5990</v>
      </c>
      <c r="F281" s="6">
        <v>184</v>
      </c>
      <c r="G281" s="2"/>
    </row>
    <row r="282" spans="1:7" x14ac:dyDescent="0.3">
      <c r="A282" s="15">
        <v>45596</v>
      </c>
      <c r="B282" s="16">
        <v>87</v>
      </c>
      <c r="C282" s="6">
        <v>246</v>
      </c>
      <c r="D282" s="6">
        <v>173</v>
      </c>
      <c r="E282" s="6">
        <v>6148</v>
      </c>
      <c r="F282" s="6">
        <v>177</v>
      </c>
      <c r="G282" s="2"/>
    </row>
    <row r="283" spans="1:7" x14ac:dyDescent="0.3">
      <c r="A283" s="15">
        <v>45595</v>
      </c>
      <c r="B283" s="16">
        <v>136</v>
      </c>
      <c r="C283" s="6">
        <v>276</v>
      </c>
      <c r="D283" s="6">
        <v>178</v>
      </c>
      <c r="E283" s="6">
        <v>6149</v>
      </c>
      <c r="F283" s="6">
        <v>160</v>
      </c>
      <c r="G283" s="2"/>
    </row>
    <row r="284" spans="1:7" x14ac:dyDescent="0.3">
      <c r="A284" s="15">
        <v>45594</v>
      </c>
      <c r="B284" s="16">
        <v>166</v>
      </c>
      <c r="C284" s="6">
        <v>277</v>
      </c>
      <c r="D284" s="6">
        <v>229</v>
      </c>
      <c r="E284" s="6">
        <v>6106</v>
      </c>
      <c r="F284" s="6">
        <v>126</v>
      </c>
      <c r="G284" s="2"/>
    </row>
    <row r="285" spans="1:7" x14ac:dyDescent="0.3">
      <c r="A285" s="15">
        <v>45593</v>
      </c>
      <c r="B285" s="16">
        <v>110</v>
      </c>
      <c r="C285" s="6">
        <v>272</v>
      </c>
      <c r="D285" s="6">
        <v>193</v>
      </c>
      <c r="E285" s="6">
        <v>6008</v>
      </c>
      <c r="F285" s="6">
        <v>156</v>
      </c>
      <c r="G285" s="2"/>
    </row>
    <row r="286" spans="1:7" x14ac:dyDescent="0.3">
      <c r="A286" s="15">
        <v>45592</v>
      </c>
      <c r="B286" s="16">
        <v>202</v>
      </c>
      <c r="C286" s="6">
        <v>313</v>
      </c>
      <c r="D286" s="6">
        <v>158</v>
      </c>
      <c r="E286" s="6">
        <v>5974</v>
      </c>
      <c r="F286" s="6">
        <v>192</v>
      </c>
      <c r="G286" s="2"/>
    </row>
    <row r="287" spans="1:7" x14ac:dyDescent="0.3">
      <c r="A287" s="15">
        <v>45588</v>
      </c>
      <c r="B287" s="16">
        <v>134</v>
      </c>
      <c r="C287" s="6">
        <v>294</v>
      </c>
      <c r="D287" s="6">
        <v>186</v>
      </c>
      <c r="E287" s="6">
        <v>6077</v>
      </c>
      <c r="F287" s="6">
        <v>138</v>
      </c>
      <c r="G287" s="2"/>
    </row>
    <row r="288" spans="1:7" x14ac:dyDescent="0.3">
      <c r="A288" s="15">
        <v>45587</v>
      </c>
      <c r="B288" s="16">
        <v>180</v>
      </c>
      <c r="C288" s="6">
        <v>280</v>
      </c>
      <c r="D288" s="6">
        <v>146</v>
      </c>
      <c r="E288" s="6">
        <v>6043</v>
      </c>
      <c r="F288" s="6">
        <v>109</v>
      </c>
      <c r="G288" s="2"/>
    </row>
    <row r="289" spans="1:10" x14ac:dyDescent="0.3">
      <c r="A289" s="15">
        <v>45586</v>
      </c>
      <c r="B289" s="16">
        <v>108</v>
      </c>
      <c r="C289" s="6">
        <v>220</v>
      </c>
      <c r="D289" s="6">
        <v>213</v>
      </c>
      <c r="E289" s="6">
        <v>5966</v>
      </c>
      <c r="F289" s="6">
        <v>154</v>
      </c>
      <c r="G289" s="2"/>
    </row>
    <row r="290" spans="1:10" x14ac:dyDescent="0.3">
      <c r="A290" s="15">
        <v>45585</v>
      </c>
      <c r="B290" s="16">
        <v>147</v>
      </c>
      <c r="C290" s="6">
        <v>276</v>
      </c>
      <c r="D290" s="6">
        <v>214</v>
      </c>
      <c r="E290" s="6">
        <v>5918</v>
      </c>
      <c r="F290" s="6">
        <v>195</v>
      </c>
      <c r="G290" s="2"/>
    </row>
    <row r="291" spans="1:10" x14ac:dyDescent="0.3">
      <c r="A291" s="15">
        <v>45582</v>
      </c>
      <c r="B291" s="16">
        <v>104</v>
      </c>
      <c r="C291" s="6">
        <v>230</v>
      </c>
      <c r="D291" s="6">
        <v>206</v>
      </c>
      <c r="E291" s="6">
        <v>6076</v>
      </c>
      <c r="F291" s="6">
        <v>160</v>
      </c>
      <c r="G291" s="2"/>
    </row>
    <row r="292" spans="1:10" x14ac:dyDescent="0.3">
      <c r="A292" s="15">
        <v>45581</v>
      </c>
      <c r="B292" s="16">
        <v>174</v>
      </c>
      <c r="C292" s="6">
        <v>285</v>
      </c>
      <c r="D292" s="6">
        <v>150</v>
      </c>
      <c r="E292" s="6">
        <v>6036</v>
      </c>
      <c r="F292" s="6">
        <v>129</v>
      </c>
      <c r="G292" s="2"/>
    </row>
    <row r="293" spans="1:10" x14ac:dyDescent="0.3">
      <c r="A293" s="15">
        <v>45580</v>
      </c>
      <c r="B293" s="16">
        <v>113</v>
      </c>
      <c r="C293" s="6">
        <v>208</v>
      </c>
      <c r="D293" s="6">
        <v>159</v>
      </c>
      <c r="E293" s="6">
        <v>6013</v>
      </c>
      <c r="F293" s="6">
        <v>107</v>
      </c>
      <c r="G293" s="2"/>
    </row>
    <row r="294" spans="1:10" x14ac:dyDescent="0.3">
      <c r="A294" s="15">
        <v>45579</v>
      </c>
      <c r="B294" s="16">
        <v>88</v>
      </c>
      <c r="C294" s="6">
        <v>214</v>
      </c>
      <c r="D294" s="6">
        <v>160</v>
      </c>
      <c r="E294" s="6">
        <v>5935</v>
      </c>
      <c r="F294" s="6">
        <v>106</v>
      </c>
      <c r="G294" s="2"/>
    </row>
    <row r="295" spans="1:10" x14ac:dyDescent="0.3">
      <c r="A295" s="15">
        <v>45578</v>
      </c>
      <c r="B295" s="16">
        <v>130</v>
      </c>
      <c r="C295" s="6">
        <v>227</v>
      </c>
      <c r="D295" s="6">
        <v>192</v>
      </c>
      <c r="E295" s="6">
        <v>5889</v>
      </c>
      <c r="F295" s="6">
        <v>210</v>
      </c>
      <c r="G295" s="2"/>
    </row>
    <row r="296" spans="1:10" x14ac:dyDescent="0.3">
      <c r="A296" s="15">
        <v>45575</v>
      </c>
      <c r="B296" s="16">
        <v>84</v>
      </c>
      <c r="C296" s="6">
        <v>158</v>
      </c>
      <c r="D296" s="6">
        <v>193</v>
      </c>
      <c r="E296" s="6">
        <v>6075</v>
      </c>
      <c r="F296" s="6">
        <v>159</v>
      </c>
      <c r="G296" s="2"/>
    </row>
    <row r="297" spans="1:10" x14ac:dyDescent="0.3">
      <c r="A297" s="15">
        <v>45574</v>
      </c>
      <c r="B297" s="16">
        <v>115</v>
      </c>
      <c r="C297" s="6">
        <v>216</v>
      </c>
      <c r="D297" s="6">
        <v>169</v>
      </c>
      <c r="E297" s="6">
        <v>6047</v>
      </c>
      <c r="F297" s="6">
        <v>137</v>
      </c>
      <c r="G297" s="2"/>
    </row>
    <row r="298" spans="1:10" x14ac:dyDescent="0.3">
      <c r="A298" s="15">
        <v>45573</v>
      </c>
      <c r="B298" s="16">
        <v>167</v>
      </c>
      <c r="C298" s="6">
        <v>239</v>
      </c>
      <c r="D298" s="6">
        <v>166</v>
      </c>
      <c r="E298" s="6">
        <v>6013</v>
      </c>
      <c r="F298" s="6">
        <v>123</v>
      </c>
      <c r="G298" s="2"/>
    </row>
    <row r="299" spans="1:10" x14ac:dyDescent="0.3">
      <c r="A299" s="15">
        <v>45572</v>
      </c>
      <c r="B299" s="16">
        <v>99</v>
      </c>
      <c r="C299" s="6">
        <v>190</v>
      </c>
      <c r="D299" s="6">
        <v>176</v>
      </c>
      <c r="E299" s="6">
        <v>5968</v>
      </c>
      <c r="F299" s="6">
        <v>153</v>
      </c>
      <c r="G299" s="2"/>
    </row>
    <row r="300" spans="1:10" x14ac:dyDescent="0.3">
      <c r="A300" s="15">
        <v>45568</v>
      </c>
      <c r="B300" s="16">
        <v>101</v>
      </c>
      <c r="C300" s="6">
        <v>162</v>
      </c>
      <c r="D300" s="6">
        <v>178</v>
      </c>
      <c r="E300" s="6">
        <v>6118</v>
      </c>
      <c r="F300" s="6">
        <v>193</v>
      </c>
      <c r="G300" s="2"/>
    </row>
    <row r="301" spans="1:10" x14ac:dyDescent="0.3">
      <c r="A301" s="15">
        <v>45567</v>
      </c>
      <c r="B301" s="16">
        <v>107</v>
      </c>
      <c r="C301" s="6">
        <v>215</v>
      </c>
      <c r="D301" s="6">
        <v>230</v>
      </c>
      <c r="E301" s="6">
        <v>6091</v>
      </c>
      <c r="F301" s="6">
        <v>173</v>
      </c>
      <c r="G301" s="2"/>
    </row>
    <row r="302" spans="1:10" x14ac:dyDescent="0.3">
      <c r="A302" s="15">
        <v>45566</v>
      </c>
      <c r="B302" s="16">
        <v>184</v>
      </c>
      <c r="C302" s="6">
        <v>314</v>
      </c>
      <c r="D302" s="6">
        <v>217</v>
      </c>
      <c r="E302" s="6">
        <v>6040</v>
      </c>
      <c r="F302" s="6">
        <v>137</v>
      </c>
      <c r="G302" s="2"/>
    </row>
    <row r="303" spans="1:10" x14ac:dyDescent="0.3">
      <c r="A303" s="15">
        <v>45565</v>
      </c>
      <c r="B303" s="16">
        <v>209</v>
      </c>
      <c r="C303" s="6">
        <v>285</v>
      </c>
      <c r="D303" s="6">
        <v>184</v>
      </c>
      <c r="E303" s="6">
        <v>5967</v>
      </c>
      <c r="F303" s="6">
        <v>138</v>
      </c>
      <c r="G303" s="2"/>
      <c r="I303" s="4"/>
      <c r="J303" s="2"/>
    </row>
    <row r="304" spans="1:10" x14ac:dyDescent="0.3">
      <c r="A304" s="15">
        <v>45564</v>
      </c>
      <c r="B304" s="16">
        <v>81</v>
      </c>
      <c r="C304" s="6">
        <v>213</v>
      </c>
      <c r="D304" s="6">
        <v>153</v>
      </c>
      <c r="E304" s="6">
        <v>5925</v>
      </c>
      <c r="F304" s="6">
        <v>177</v>
      </c>
      <c r="G304" s="2"/>
      <c r="I304" s="4"/>
      <c r="J304" s="2"/>
    </row>
    <row r="305" spans="1:10" x14ac:dyDescent="0.3">
      <c r="A305" s="15">
        <v>45561</v>
      </c>
      <c r="B305" s="16">
        <v>91</v>
      </c>
      <c r="C305" s="6">
        <v>199</v>
      </c>
      <c r="D305" s="6">
        <v>172</v>
      </c>
      <c r="E305" s="6">
        <v>6090</v>
      </c>
      <c r="F305" s="6">
        <v>185</v>
      </c>
      <c r="G305" s="2"/>
      <c r="I305" s="4"/>
      <c r="J305" s="2"/>
    </row>
    <row r="306" spans="1:10" x14ac:dyDescent="0.3">
      <c r="A306" s="15">
        <f>A305-1</f>
        <v>45560</v>
      </c>
      <c r="B306" s="16">
        <v>154</v>
      </c>
      <c r="C306" s="6">
        <v>225</v>
      </c>
      <c r="D306" s="6">
        <v>220</v>
      </c>
      <c r="E306" s="6">
        <v>6050</v>
      </c>
      <c r="F306" s="6">
        <v>169</v>
      </c>
      <c r="G306" s="2"/>
      <c r="I306" s="4"/>
      <c r="J306" s="2"/>
    </row>
    <row r="307" spans="1:10" x14ac:dyDescent="0.3">
      <c r="A307" s="15">
        <f t="shared" ref="A307:A309" si="11">A306-1</f>
        <v>45559</v>
      </c>
      <c r="B307" s="16">
        <v>186</v>
      </c>
      <c r="C307" s="6">
        <v>259</v>
      </c>
      <c r="D307" s="6">
        <v>172</v>
      </c>
      <c r="E307" s="6">
        <v>6023</v>
      </c>
      <c r="F307" s="6">
        <v>143</v>
      </c>
      <c r="G307" s="2"/>
      <c r="I307" s="4"/>
      <c r="J307" s="2"/>
    </row>
    <row r="308" spans="1:10" x14ac:dyDescent="0.3">
      <c r="A308" s="15">
        <f t="shared" si="11"/>
        <v>45558</v>
      </c>
      <c r="B308" s="16">
        <v>92</v>
      </c>
      <c r="C308" s="6">
        <v>203</v>
      </c>
      <c r="D308" s="6">
        <v>173</v>
      </c>
      <c r="E308" s="6">
        <v>6002</v>
      </c>
      <c r="F308" s="6">
        <v>165</v>
      </c>
      <c r="G308" s="2"/>
      <c r="I308" s="4"/>
      <c r="J308" s="2"/>
    </row>
    <row r="309" spans="1:10" x14ac:dyDescent="0.3">
      <c r="A309" s="15">
        <f t="shared" si="11"/>
        <v>45557</v>
      </c>
      <c r="B309" s="16">
        <v>124</v>
      </c>
      <c r="C309" s="6">
        <v>234</v>
      </c>
      <c r="D309" s="6">
        <v>161</v>
      </c>
      <c r="E309" s="6">
        <v>5989</v>
      </c>
      <c r="F309" s="6">
        <v>197</v>
      </c>
      <c r="G309" s="2"/>
      <c r="I309" s="4"/>
      <c r="J309" s="2"/>
    </row>
    <row r="310" spans="1:10" x14ac:dyDescent="0.3">
      <c r="A310" s="15">
        <v>45554</v>
      </c>
      <c r="B310" s="16">
        <v>93</v>
      </c>
      <c r="C310" s="6">
        <v>196</v>
      </c>
      <c r="D310" s="6">
        <v>169</v>
      </c>
      <c r="E310" s="6">
        <v>6270</v>
      </c>
      <c r="F310" s="6">
        <v>188</v>
      </c>
      <c r="G310" s="2"/>
      <c r="I310" s="4"/>
      <c r="J310" s="2"/>
    </row>
    <row r="311" spans="1:10" x14ac:dyDescent="0.3">
      <c r="A311" s="15">
        <f>A310-1</f>
        <v>45553</v>
      </c>
      <c r="B311" s="16">
        <v>116</v>
      </c>
      <c r="C311" s="6">
        <v>213</v>
      </c>
      <c r="D311" s="6">
        <v>217</v>
      </c>
      <c r="E311" s="6">
        <v>6245</v>
      </c>
      <c r="F311" s="6">
        <v>149</v>
      </c>
      <c r="G311" s="2"/>
      <c r="I311" s="4"/>
      <c r="J311" s="2"/>
    </row>
    <row r="312" spans="1:10" x14ac:dyDescent="0.3">
      <c r="A312" s="15">
        <f t="shared" ref="A312:A317" si="12">A311-1</f>
        <v>45552</v>
      </c>
      <c r="B312" s="16">
        <v>159</v>
      </c>
      <c r="C312" s="6">
        <v>304</v>
      </c>
      <c r="D312" s="6">
        <v>139</v>
      </c>
      <c r="E312" s="6">
        <v>6227</v>
      </c>
      <c r="F312" s="6">
        <v>160</v>
      </c>
      <c r="G312" s="2"/>
      <c r="I312" s="4"/>
      <c r="J312" s="2"/>
    </row>
    <row r="313" spans="1:10" x14ac:dyDescent="0.3">
      <c r="A313" s="15">
        <f t="shared" si="12"/>
        <v>45551</v>
      </c>
      <c r="B313" s="16">
        <v>113</v>
      </c>
      <c r="C313" s="6">
        <v>209</v>
      </c>
      <c r="D313" s="6">
        <v>160</v>
      </c>
      <c r="E313" s="6">
        <v>6229</v>
      </c>
      <c r="F313" s="6">
        <v>164</v>
      </c>
      <c r="G313" s="2"/>
      <c r="I313" s="4"/>
      <c r="J313" s="2"/>
    </row>
    <row r="314" spans="1:10" x14ac:dyDescent="0.3">
      <c r="A314" s="15">
        <f t="shared" si="12"/>
        <v>45550</v>
      </c>
      <c r="B314" s="16">
        <v>98</v>
      </c>
      <c r="C314" s="6">
        <v>220</v>
      </c>
      <c r="D314" s="6">
        <v>167</v>
      </c>
      <c r="E314" s="6">
        <v>6234</v>
      </c>
      <c r="F314" s="6">
        <v>210</v>
      </c>
      <c r="G314" s="2"/>
      <c r="I314" s="4"/>
      <c r="J314" s="2"/>
    </row>
    <row r="315" spans="1:10" x14ac:dyDescent="0.3">
      <c r="A315" s="15">
        <f t="shared" si="12"/>
        <v>45549</v>
      </c>
      <c r="B315" s="16">
        <v>81</v>
      </c>
      <c r="C315" s="6">
        <v>200</v>
      </c>
      <c r="D315" s="6">
        <v>212</v>
      </c>
      <c r="E315" s="6">
        <v>6326</v>
      </c>
      <c r="F315" s="6">
        <v>279</v>
      </c>
      <c r="G315" s="2"/>
      <c r="I315" s="4"/>
      <c r="J315" s="2"/>
    </row>
    <row r="316" spans="1:10" x14ac:dyDescent="0.3">
      <c r="A316" s="15">
        <f t="shared" si="12"/>
        <v>45548</v>
      </c>
      <c r="B316" s="16">
        <v>184</v>
      </c>
      <c r="C316" s="6">
        <v>280</v>
      </c>
      <c r="D316" s="6">
        <v>210</v>
      </c>
      <c r="E316" s="6">
        <v>6360</v>
      </c>
      <c r="F316" s="6">
        <v>220</v>
      </c>
      <c r="G316" s="2"/>
      <c r="I316" s="4"/>
      <c r="J316" s="2"/>
    </row>
    <row r="317" spans="1:10" x14ac:dyDescent="0.3">
      <c r="A317" s="15">
        <f t="shared" si="12"/>
        <v>45547</v>
      </c>
      <c r="B317" s="16">
        <v>93</v>
      </c>
      <c r="C317" s="6">
        <v>248</v>
      </c>
      <c r="D317" s="6">
        <v>175</v>
      </c>
      <c r="E317" s="6">
        <v>6410</v>
      </c>
      <c r="F317" s="6">
        <v>162</v>
      </c>
      <c r="G317" s="2"/>
      <c r="I317" s="4"/>
      <c r="J317" s="2"/>
    </row>
    <row r="318" spans="1:10" x14ac:dyDescent="0.3">
      <c r="A318" s="15">
        <f>A317-2</f>
        <v>45545</v>
      </c>
      <c r="B318" s="16">
        <v>131</v>
      </c>
      <c r="C318" s="6">
        <v>251</v>
      </c>
      <c r="D318" s="6">
        <v>180</v>
      </c>
      <c r="E318" s="6">
        <v>6396</v>
      </c>
      <c r="F318" s="6">
        <v>148</v>
      </c>
      <c r="G318" s="2"/>
      <c r="I318" s="4"/>
      <c r="J318" s="2"/>
    </row>
    <row r="319" spans="1:10" x14ac:dyDescent="0.3">
      <c r="A319" s="15">
        <f>A318-1</f>
        <v>45544</v>
      </c>
      <c r="B319" s="16">
        <v>144</v>
      </c>
      <c r="C319" s="6">
        <v>275</v>
      </c>
      <c r="D319" s="6">
        <v>190</v>
      </c>
      <c r="E319" s="6">
        <v>6353</v>
      </c>
      <c r="F319" s="6">
        <v>141</v>
      </c>
      <c r="G319" s="2"/>
      <c r="I319" s="4"/>
      <c r="J319" s="2"/>
    </row>
    <row r="320" spans="1:10" x14ac:dyDescent="0.3">
      <c r="A320" s="15">
        <f>A319-1</f>
        <v>45543</v>
      </c>
      <c r="B320" s="16">
        <v>123</v>
      </c>
      <c r="C320" s="6">
        <v>255</v>
      </c>
      <c r="D320" s="6">
        <v>164</v>
      </c>
      <c r="E320" s="6">
        <v>6312</v>
      </c>
      <c r="F320" s="6">
        <v>221</v>
      </c>
      <c r="G320" s="2"/>
      <c r="I320" s="4"/>
      <c r="J320" s="2"/>
    </row>
    <row r="321" spans="1:10" x14ac:dyDescent="0.3">
      <c r="A321" s="15">
        <f>A320-3</f>
        <v>45540</v>
      </c>
      <c r="B321" s="16">
        <v>126</v>
      </c>
      <c r="C321" s="6">
        <v>230</v>
      </c>
      <c r="D321" s="6">
        <v>175</v>
      </c>
      <c r="E321" s="6">
        <v>6448</v>
      </c>
      <c r="F321" s="6">
        <v>121</v>
      </c>
      <c r="G321" s="2"/>
      <c r="I321" s="4"/>
      <c r="J321" s="2"/>
    </row>
    <row r="322" spans="1:10" x14ac:dyDescent="0.3">
      <c r="A322" s="15">
        <f>A321-1</f>
        <v>45539</v>
      </c>
      <c r="B322" s="16">
        <v>121</v>
      </c>
      <c r="C322" s="6">
        <v>231</v>
      </c>
      <c r="D322" s="6">
        <v>219</v>
      </c>
      <c r="E322" s="6">
        <v>6375</v>
      </c>
      <c r="F322" s="6">
        <v>114</v>
      </c>
      <c r="G322" s="2"/>
      <c r="I322" s="4"/>
      <c r="J322" s="2"/>
    </row>
    <row r="323" spans="1:10" x14ac:dyDescent="0.3">
      <c r="A323" s="15">
        <f t="shared" ref="A323:A324" si="13">A322-1</f>
        <v>45538</v>
      </c>
      <c r="B323" s="16">
        <v>131</v>
      </c>
      <c r="C323" s="6">
        <v>263</v>
      </c>
      <c r="D323" s="6">
        <v>177</v>
      </c>
      <c r="E323" s="6">
        <v>6272</v>
      </c>
      <c r="F323" s="6">
        <v>112</v>
      </c>
      <c r="G323" s="2"/>
      <c r="I323" s="4"/>
      <c r="J323" s="2"/>
    </row>
    <row r="324" spans="1:10" x14ac:dyDescent="0.3">
      <c r="A324" s="15">
        <f t="shared" si="13"/>
        <v>45537</v>
      </c>
      <c r="B324" s="16">
        <v>133</v>
      </c>
      <c r="C324" s="6">
        <v>270</v>
      </c>
      <c r="D324" s="6">
        <v>198</v>
      </c>
      <c r="E324" s="6">
        <v>6192</v>
      </c>
      <c r="F324" s="6">
        <v>129</v>
      </c>
      <c r="G324" s="2"/>
      <c r="I324" s="4"/>
      <c r="J324" s="2"/>
    </row>
    <row r="325" spans="1:10" x14ac:dyDescent="0.3">
      <c r="A325" s="15">
        <v>45533</v>
      </c>
      <c r="B325" s="16">
        <v>145</v>
      </c>
      <c r="C325" s="6">
        <v>295</v>
      </c>
      <c r="D325" s="6">
        <v>188</v>
      </c>
      <c r="E325" s="6">
        <v>6250</v>
      </c>
      <c r="F325" s="6">
        <v>169</v>
      </c>
      <c r="G325" s="2"/>
    </row>
    <row r="326" spans="1:10" x14ac:dyDescent="0.3">
      <c r="A326" s="15">
        <v>45532</v>
      </c>
      <c r="B326" s="16">
        <v>170</v>
      </c>
      <c r="C326" s="6">
        <v>285</v>
      </c>
      <c r="D326" s="6">
        <v>178</v>
      </c>
      <c r="E326" s="6">
        <v>6227</v>
      </c>
      <c r="F326" s="6">
        <v>134</v>
      </c>
      <c r="G326" s="2"/>
    </row>
    <row r="327" spans="1:10" x14ac:dyDescent="0.3">
      <c r="A327" s="15">
        <v>45531</v>
      </c>
      <c r="B327" s="16">
        <v>149</v>
      </c>
      <c r="C327" s="6">
        <v>285</v>
      </c>
      <c r="D327" s="6">
        <v>222</v>
      </c>
      <c r="E327" s="6">
        <v>6152</v>
      </c>
      <c r="F327" s="6">
        <v>97</v>
      </c>
      <c r="G327" s="2"/>
    </row>
    <row r="328" spans="1:10" x14ac:dyDescent="0.3">
      <c r="A328" s="15">
        <v>45526</v>
      </c>
      <c r="B328" s="16">
        <v>182</v>
      </c>
      <c r="C328" s="6">
        <v>307</v>
      </c>
      <c r="D328" s="6">
        <v>205</v>
      </c>
      <c r="E328" s="6">
        <v>6054</v>
      </c>
      <c r="F328" s="6">
        <v>171</v>
      </c>
      <c r="G328" s="2"/>
    </row>
    <row r="329" spans="1:10" x14ac:dyDescent="0.3">
      <c r="A329" s="15">
        <v>45525</v>
      </c>
      <c r="B329" s="16">
        <v>134</v>
      </c>
      <c r="C329" s="6">
        <v>245</v>
      </c>
      <c r="D329" s="6">
        <v>167</v>
      </c>
      <c r="E329" s="6">
        <v>6028</v>
      </c>
      <c r="F329" s="6">
        <v>156</v>
      </c>
      <c r="G329" s="2"/>
    </row>
    <row r="330" spans="1:10" x14ac:dyDescent="0.3">
      <c r="A330" s="15">
        <v>45524</v>
      </c>
      <c r="B330" s="16">
        <v>136</v>
      </c>
      <c r="C330" s="6">
        <v>274</v>
      </c>
      <c r="D330" s="6">
        <v>245</v>
      </c>
      <c r="E330" s="6">
        <v>5995</v>
      </c>
      <c r="F330" s="6">
        <v>112</v>
      </c>
      <c r="G330" s="2"/>
    </row>
    <row r="331" spans="1:10" x14ac:dyDescent="0.3">
      <c r="A331" s="15">
        <v>45523</v>
      </c>
      <c r="B331" s="16">
        <v>176</v>
      </c>
      <c r="C331" s="6">
        <v>254</v>
      </c>
      <c r="D331" s="6">
        <v>162</v>
      </c>
      <c r="E331" s="6">
        <v>5865</v>
      </c>
      <c r="F331" s="6">
        <v>158</v>
      </c>
      <c r="G331" s="2"/>
    </row>
    <row r="332" spans="1:10" x14ac:dyDescent="0.3">
      <c r="A332" s="15">
        <v>45522</v>
      </c>
      <c r="B332" s="16">
        <v>86</v>
      </c>
      <c r="C332" s="6">
        <v>244</v>
      </c>
      <c r="D332" s="6">
        <v>235</v>
      </c>
      <c r="E332" s="6">
        <v>5821</v>
      </c>
      <c r="F332" s="6">
        <v>178</v>
      </c>
      <c r="G332" s="2"/>
    </row>
    <row r="333" spans="1:10" x14ac:dyDescent="0.3">
      <c r="A333" s="15">
        <v>45519</v>
      </c>
      <c r="B333" s="16">
        <v>124</v>
      </c>
      <c r="C333" s="6">
        <v>241</v>
      </c>
      <c r="D333" s="6">
        <v>156</v>
      </c>
      <c r="E333" s="6">
        <v>5895</v>
      </c>
      <c r="F333" s="6">
        <v>220</v>
      </c>
      <c r="G333" s="2"/>
    </row>
    <row r="334" spans="1:10" x14ac:dyDescent="0.3">
      <c r="A334" s="15">
        <v>45518</v>
      </c>
      <c r="B334" s="16">
        <v>109</v>
      </c>
      <c r="C334" s="6">
        <v>226</v>
      </c>
      <c r="D334" s="6">
        <v>191</v>
      </c>
      <c r="E334" s="6">
        <v>5987</v>
      </c>
      <c r="F334" s="6">
        <v>178</v>
      </c>
      <c r="G334" s="2"/>
    </row>
    <row r="335" spans="1:10" x14ac:dyDescent="0.3">
      <c r="A335" s="15">
        <v>45517</v>
      </c>
      <c r="B335" s="16">
        <v>162</v>
      </c>
      <c r="C335" s="6">
        <v>239</v>
      </c>
      <c r="D335" s="6">
        <v>189</v>
      </c>
      <c r="E335" s="6">
        <v>5981</v>
      </c>
      <c r="F335" s="6">
        <v>123</v>
      </c>
      <c r="G335" s="2"/>
    </row>
    <row r="336" spans="1:10" x14ac:dyDescent="0.3">
      <c r="A336" s="15">
        <v>45516</v>
      </c>
      <c r="B336" s="16">
        <v>109</v>
      </c>
      <c r="C336" s="6">
        <v>219</v>
      </c>
      <c r="D336" s="6">
        <v>155</v>
      </c>
      <c r="E336" s="6">
        <v>5903</v>
      </c>
      <c r="F336" s="6">
        <v>148</v>
      </c>
      <c r="G336" s="2"/>
    </row>
    <row r="337" spans="1:9" x14ac:dyDescent="0.3">
      <c r="A337" s="15">
        <v>45515</v>
      </c>
      <c r="B337" s="16">
        <v>95</v>
      </c>
      <c r="C337" s="6">
        <v>211</v>
      </c>
      <c r="D337" s="6">
        <v>140</v>
      </c>
      <c r="E337" s="6">
        <v>5894</v>
      </c>
      <c r="F337" s="6">
        <v>249</v>
      </c>
      <c r="G337" s="2"/>
    </row>
    <row r="338" spans="1:9" x14ac:dyDescent="0.3">
      <c r="A338" s="15">
        <v>45512</v>
      </c>
      <c r="B338" s="16">
        <v>119</v>
      </c>
      <c r="C338" s="6">
        <v>230</v>
      </c>
      <c r="D338" s="6">
        <v>213</v>
      </c>
      <c r="E338" s="6">
        <v>6084</v>
      </c>
      <c r="F338" s="6">
        <v>174</v>
      </c>
      <c r="G338" s="2"/>
    </row>
    <row r="339" spans="1:9" x14ac:dyDescent="0.3">
      <c r="A339" s="15">
        <v>45511</v>
      </c>
      <c r="B339" s="16">
        <v>135</v>
      </c>
      <c r="C339" s="6">
        <v>273</v>
      </c>
      <c r="D339" s="6">
        <v>207</v>
      </c>
      <c r="E339" s="6">
        <v>6038</v>
      </c>
      <c r="F339" s="6">
        <v>174</v>
      </c>
      <c r="G339" s="2"/>
    </row>
    <row r="340" spans="1:9" x14ac:dyDescent="0.3">
      <c r="A340" s="15">
        <v>45510</v>
      </c>
      <c r="B340" s="16">
        <v>163</v>
      </c>
      <c r="C340" s="6">
        <v>283</v>
      </c>
      <c r="D340" s="6">
        <v>200</v>
      </c>
      <c r="E340" s="6">
        <v>5998</v>
      </c>
      <c r="F340" s="6">
        <v>143</v>
      </c>
      <c r="G340" s="2"/>
    </row>
    <row r="341" spans="1:9" x14ac:dyDescent="0.3">
      <c r="A341" s="15">
        <v>45509</v>
      </c>
      <c r="B341" s="16">
        <v>172</v>
      </c>
      <c r="C341" s="6">
        <v>259</v>
      </c>
      <c r="D341" s="6">
        <v>138</v>
      </c>
      <c r="E341" s="6">
        <v>5950</v>
      </c>
      <c r="F341" s="6">
        <v>150</v>
      </c>
      <c r="G341" s="2"/>
    </row>
    <row r="342" spans="1:9" x14ac:dyDescent="0.3">
      <c r="A342" s="15">
        <v>45508</v>
      </c>
      <c r="B342" s="16">
        <v>63</v>
      </c>
      <c r="C342" s="6">
        <v>167</v>
      </c>
      <c r="D342" s="6">
        <v>143</v>
      </c>
      <c r="E342" s="6">
        <v>5943</v>
      </c>
      <c r="F342" s="6">
        <v>170</v>
      </c>
      <c r="G342" s="2"/>
    </row>
    <row r="343" spans="1:9" x14ac:dyDescent="0.3">
      <c r="A343" s="15">
        <v>45505</v>
      </c>
      <c r="B343" s="16">
        <v>227</v>
      </c>
      <c r="C343" s="6">
        <v>298</v>
      </c>
      <c r="D343" s="6">
        <v>212</v>
      </c>
      <c r="E343" s="6">
        <v>6016</v>
      </c>
      <c r="F343" s="6">
        <v>169</v>
      </c>
      <c r="G343" s="2"/>
    </row>
    <row r="344" spans="1:9" x14ac:dyDescent="0.3">
      <c r="A344" s="15">
        <v>45504</v>
      </c>
      <c r="B344" s="16">
        <v>140</v>
      </c>
      <c r="C344" s="6">
        <v>261</v>
      </c>
      <c r="D344" s="6">
        <v>163</v>
      </c>
      <c r="E344" s="6">
        <v>5963</v>
      </c>
      <c r="F344" s="6">
        <v>154</v>
      </c>
      <c r="G344" s="2"/>
    </row>
    <row r="345" spans="1:9" x14ac:dyDescent="0.3">
      <c r="A345" s="15">
        <f>A344-1</f>
        <v>45503</v>
      </c>
      <c r="B345" s="16">
        <v>125</v>
      </c>
      <c r="C345" s="6">
        <v>203</v>
      </c>
      <c r="D345" s="6">
        <v>208</v>
      </c>
      <c r="E345" s="6">
        <v>5930</v>
      </c>
      <c r="F345" s="6">
        <v>92</v>
      </c>
      <c r="G345" s="2"/>
      <c r="H345" s="4"/>
      <c r="I345" s="2"/>
    </row>
    <row r="346" spans="1:9" x14ac:dyDescent="0.3">
      <c r="A346" s="15">
        <f t="shared" ref="A346:A347" si="14">A345-1</f>
        <v>45502</v>
      </c>
      <c r="B346" s="16">
        <v>114</v>
      </c>
      <c r="C346" s="6">
        <v>210</v>
      </c>
      <c r="D346" s="6">
        <v>219</v>
      </c>
      <c r="E346" s="6">
        <v>5819</v>
      </c>
      <c r="F346" s="6">
        <v>163</v>
      </c>
      <c r="G346" s="2"/>
      <c r="H346" s="4"/>
      <c r="I346" s="2"/>
    </row>
    <row r="347" spans="1:9" x14ac:dyDescent="0.3">
      <c r="A347" s="15">
        <f t="shared" si="14"/>
        <v>45501</v>
      </c>
      <c r="B347" s="16">
        <v>152</v>
      </c>
      <c r="C347" s="6">
        <v>290</v>
      </c>
      <c r="D347" s="6">
        <v>199</v>
      </c>
      <c r="E347" s="6">
        <v>5743</v>
      </c>
      <c r="F347" s="6">
        <v>207</v>
      </c>
      <c r="G347" s="2"/>
      <c r="H347" s="4"/>
      <c r="I347" s="2"/>
    </row>
    <row r="348" spans="1:9" x14ac:dyDescent="0.3">
      <c r="A348" s="15">
        <f>A347-3</f>
        <v>45498</v>
      </c>
      <c r="B348" s="16">
        <v>93</v>
      </c>
      <c r="C348" s="6">
        <v>198</v>
      </c>
      <c r="D348" s="6">
        <v>208</v>
      </c>
      <c r="E348" s="6">
        <v>5954</v>
      </c>
      <c r="F348" s="6">
        <v>194</v>
      </c>
      <c r="G348" s="2"/>
      <c r="H348" s="4"/>
      <c r="I348" s="2"/>
    </row>
    <row r="349" spans="1:9" x14ac:dyDescent="0.3">
      <c r="A349" s="15">
        <f>A348-1</f>
        <v>45497</v>
      </c>
      <c r="B349" s="16">
        <v>137</v>
      </c>
      <c r="C349" s="6">
        <v>272</v>
      </c>
      <c r="D349" s="6">
        <v>166</v>
      </c>
      <c r="E349" s="6">
        <v>5927</v>
      </c>
      <c r="F349" s="6">
        <v>177</v>
      </c>
      <c r="G349" s="2"/>
      <c r="H349" s="4"/>
      <c r="I349" s="2"/>
    </row>
    <row r="350" spans="1:9" x14ac:dyDescent="0.3">
      <c r="A350" s="15">
        <f t="shared" ref="A350:A352" si="15">A349-1</f>
        <v>45496</v>
      </c>
      <c r="B350" s="16">
        <v>120</v>
      </c>
      <c r="C350" s="6">
        <v>257</v>
      </c>
      <c r="D350" s="6">
        <v>126</v>
      </c>
      <c r="E350" s="6">
        <v>5965</v>
      </c>
      <c r="F350" s="6">
        <v>170</v>
      </c>
      <c r="G350" s="2"/>
      <c r="H350" s="4"/>
      <c r="I350" s="2"/>
    </row>
    <row r="351" spans="1:9" x14ac:dyDescent="0.3">
      <c r="A351" s="15">
        <f t="shared" si="15"/>
        <v>45495</v>
      </c>
      <c r="B351" s="16">
        <v>102</v>
      </c>
      <c r="C351" s="6">
        <v>189</v>
      </c>
      <c r="D351" s="6">
        <v>155</v>
      </c>
      <c r="E351" s="6">
        <v>6002</v>
      </c>
      <c r="F351" s="6">
        <v>234</v>
      </c>
      <c r="G351" s="2"/>
      <c r="H351" s="4"/>
      <c r="I351" s="2"/>
    </row>
    <row r="352" spans="1:9" x14ac:dyDescent="0.3">
      <c r="A352" s="15">
        <f t="shared" si="15"/>
        <v>45494</v>
      </c>
      <c r="B352" s="16">
        <v>90</v>
      </c>
      <c r="C352" s="6">
        <v>196</v>
      </c>
      <c r="D352" s="6">
        <v>205</v>
      </c>
      <c r="E352" s="6">
        <v>6058</v>
      </c>
      <c r="F352" s="6">
        <v>262</v>
      </c>
      <c r="G352" s="2"/>
      <c r="H352" s="4"/>
      <c r="I352" s="2"/>
    </row>
    <row r="353" spans="1:9" x14ac:dyDescent="0.3">
      <c r="A353" s="15">
        <f>A352-4</f>
        <v>45490</v>
      </c>
      <c r="B353" s="16">
        <v>128</v>
      </c>
      <c r="C353" s="6">
        <v>228</v>
      </c>
      <c r="D353" s="6">
        <v>177</v>
      </c>
      <c r="E353" s="6">
        <v>6228</v>
      </c>
      <c r="F353" s="6">
        <v>187</v>
      </c>
      <c r="G353" s="2"/>
      <c r="H353" s="4"/>
      <c r="I353" s="2"/>
    </row>
    <row r="354" spans="1:9" x14ac:dyDescent="0.3">
      <c r="A354" s="15">
        <f>A353-1</f>
        <v>45489</v>
      </c>
      <c r="B354" s="16">
        <v>136</v>
      </c>
      <c r="C354" s="6">
        <v>246</v>
      </c>
      <c r="D354" s="6">
        <v>123</v>
      </c>
      <c r="E354" s="6">
        <v>6239</v>
      </c>
      <c r="F354" s="6">
        <v>173</v>
      </c>
      <c r="G354" s="2"/>
      <c r="H354" s="4"/>
      <c r="I354" s="2"/>
    </row>
    <row r="355" spans="1:9" x14ac:dyDescent="0.3">
      <c r="A355" s="15">
        <f t="shared" ref="A355:A356" si="16">A354-1</f>
        <v>45488</v>
      </c>
      <c r="B355" s="16">
        <v>105</v>
      </c>
      <c r="C355" s="6">
        <v>185</v>
      </c>
      <c r="D355" s="6">
        <v>158</v>
      </c>
      <c r="E355" s="6">
        <v>6283</v>
      </c>
      <c r="F355" s="6">
        <v>171</v>
      </c>
      <c r="G355" s="2"/>
      <c r="H355" s="4"/>
      <c r="I355" s="2"/>
    </row>
    <row r="356" spans="1:9" x14ac:dyDescent="0.3">
      <c r="A356" s="15">
        <f t="shared" si="16"/>
        <v>45487</v>
      </c>
      <c r="B356" s="16">
        <v>116</v>
      </c>
      <c r="C356" s="6">
        <v>188</v>
      </c>
      <c r="D356" s="6">
        <v>164</v>
      </c>
      <c r="E356" s="6">
        <v>6308</v>
      </c>
      <c r="F356" s="6">
        <v>237</v>
      </c>
      <c r="G356" s="2"/>
      <c r="H356" s="4"/>
      <c r="I356" s="2"/>
    </row>
    <row r="357" spans="1:9" x14ac:dyDescent="0.3">
      <c r="A357" s="15">
        <f>A356-3</f>
        <v>45484</v>
      </c>
      <c r="B357" s="16">
        <v>80</v>
      </c>
      <c r="C357" s="6">
        <v>176</v>
      </c>
      <c r="D357" s="6">
        <v>125</v>
      </c>
      <c r="E357" s="6">
        <v>6640</v>
      </c>
      <c r="F357" s="6">
        <v>197</v>
      </c>
      <c r="G357" s="2"/>
      <c r="H357" s="4"/>
      <c r="I357" s="2"/>
    </row>
    <row r="358" spans="1:9" x14ac:dyDescent="0.3">
      <c r="A358" s="15">
        <f>A357-1</f>
        <v>45483</v>
      </c>
      <c r="B358" s="16">
        <v>150</v>
      </c>
      <c r="C358" s="6">
        <v>157</v>
      </c>
      <c r="D358" s="6">
        <v>201</v>
      </c>
      <c r="E358" s="6">
        <v>6649</v>
      </c>
      <c r="F358" s="6">
        <v>177</v>
      </c>
      <c r="G358" s="2"/>
      <c r="H358" s="4"/>
      <c r="I358" s="2"/>
    </row>
    <row r="359" spans="1:9" x14ac:dyDescent="0.3">
      <c r="A359" s="15">
        <f t="shared" ref="A359:A361" si="17">A358-1</f>
        <v>45482</v>
      </c>
      <c r="B359" s="16">
        <v>116</v>
      </c>
      <c r="C359" s="6">
        <v>181</v>
      </c>
      <c r="D359" s="6">
        <v>182</v>
      </c>
      <c r="E359" s="6">
        <v>6651</v>
      </c>
      <c r="F359" s="6">
        <v>130</v>
      </c>
      <c r="G359" s="2"/>
      <c r="H359" s="4"/>
      <c r="I359" s="2"/>
    </row>
    <row r="360" spans="1:9" x14ac:dyDescent="0.3">
      <c r="A360" s="15">
        <f t="shared" si="17"/>
        <v>45481</v>
      </c>
      <c r="B360" s="16">
        <v>141</v>
      </c>
      <c r="C360" s="6">
        <v>173</v>
      </c>
      <c r="D360" s="6">
        <v>129</v>
      </c>
      <c r="E360" s="6">
        <v>6617</v>
      </c>
      <c r="F360" s="6">
        <v>123</v>
      </c>
      <c r="G360" s="2"/>
      <c r="H360" s="4"/>
      <c r="I360" s="2"/>
    </row>
    <row r="361" spans="1:9" x14ac:dyDescent="0.3">
      <c r="A361" s="15">
        <f t="shared" si="17"/>
        <v>45480</v>
      </c>
      <c r="B361" s="16">
        <v>96</v>
      </c>
      <c r="C361" s="6">
        <v>160</v>
      </c>
      <c r="D361" s="6">
        <v>233</v>
      </c>
      <c r="E361" s="6">
        <v>6599</v>
      </c>
      <c r="F361" s="6">
        <v>213</v>
      </c>
      <c r="G361" s="2"/>
      <c r="H361" s="4"/>
      <c r="I361" s="2"/>
    </row>
    <row r="362" spans="1:9" x14ac:dyDescent="0.3">
      <c r="A362" s="15">
        <f>A361-3</f>
        <v>45477</v>
      </c>
      <c r="B362" s="16">
        <v>158</v>
      </c>
      <c r="C362" s="6">
        <v>226</v>
      </c>
      <c r="D362" s="6">
        <v>191</v>
      </c>
      <c r="E362" s="6">
        <v>6790</v>
      </c>
      <c r="F362" s="6">
        <v>225</v>
      </c>
      <c r="G362" s="2"/>
      <c r="H362" s="4"/>
      <c r="I362" s="2"/>
    </row>
    <row r="363" spans="1:9" x14ac:dyDescent="0.3">
      <c r="A363" s="15">
        <f>A362-2</f>
        <v>45475</v>
      </c>
      <c r="B363" s="16">
        <v>141</v>
      </c>
      <c r="C363" s="6">
        <v>232</v>
      </c>
      <c r="D363" s="6">
        <v>188</v>
      </c>
      <c r="E363" s="6">
        <v>6823</v>
      </c>
      <c r="F363" s="6">
        <v>184</v>
      </c>
      <c r="G363" s="2"/>
      <c r="H363" s="4"/>
      <c r="I363" s="2"/>
    </row>
    <row r="364" spans="1:9" x14ac:dyDescent="0.3">
      <c r="A364" s="15">
        <f>A363-1</f>
        <v>45474</v>
      </c>
      <c r="B364" s="16">
        <v>123</v>
      </c>
      <c r="C364" s="6">
        <v>233</v>
      </c>
      <c r="D364" s="6">
        <v>159</v>
      </c>
      <c r="E364" s="6">
        <v>6825</v>
      </c>
      <c r="F364" s="6">
        <v>229</v>
      </c>
      <c r="G364" s="2"/>
      <c r="H364" s="4"/>
      <c r="I364" s="2"/>
    </row>
    <row r="365" spans="1:9" x14ac:dyDescent="0.3">
      <c r="A365" s="15">
        <f>A364-1</f>
        <v>45473</v>
      </c>
      <c r="B365" s="16">
        <v>123</v>
      </c>
      <c r="C365" s="6">
        <v>230</v>
      </c>
      <c r="D365" s="6">
        <v>167</v>
      </c>
      <c r="E365" s="6">
        <v>6874</v>
      </c>
      <c r="F365" s="6">
        <v>273</v>
      </c>
      <c r="G365" s="2"/>
      <c r="H365" s="4"/>
      <c r="I365" s="2"/>
    </row>
    <row r="366" spans="1:9" x14ac:dyDescent="0.3">
      <c r="A366" s="15">
        <f>A365-3</f>
        <v>45470</v>
      </c>
      <c r="B366" s="16">
        <v>174</v>
      </c>
      <c r="C366" s="6">
        <v>208</v>
      </c>
      <c r="D366" s="6">
        <v>256</v>
      </c>
      <c r="E366" s="6">
        <v>7248</v>
      </c>
      <c r="F366" s="6">
        <v>268</v>
      </c>
      <c r="G366" s="2"/>
      <c r="H366" s="4"/>
      <c r="I366" s="2"/>
    </row>
    <row r="367" spans="1:9" x14ac:dyDescent="0.3">
      <c r="A367" s="15">
        <f>A366-1</f>
        <v>45469</v>
      </c>
      <c r="B367" s="16">
        <v>132</v>
      </c>
      <c r="C367" s="6">
        <v>235</v>
      </c>
      <c r="D367" s="6">
        <v>197</v>
      </c>
      <c r="E367" s="6">
        <v>7268</v>
      </c>
      <c r="F367" s="6">
        <v>187</v>
      </c>
      <c r="G367" s="2"/>
      <c r="H367" s="4"/>
      <c r="I367" s="2"/>
    </row>
    <row r="368" spans="1:9" x14ac:dyDescent="0.3">
      <c r="A368" s="15">
        <f t="shared" ref="A368:A370" si="18">A367-1</f>
        <v>45468</v>
      </c>
      <c r="B368" s="16">
        <v>172</v>
      </c>
      <c r="C368" s="6">
        <v>263</v>
      </c>
      <c r="D368" s="6">
        <v>191</v>
      </c>
      <c r="E368" s="6">
        <v>7239</v>
      </c>
      <c r="F368" s="6">
        <v>202</v>
      </c>
      <c r="G368" s="2"/>
      <c r="H368" s="4"/>
      <c r="I368" s="2"/>
    </row>
    <row r="369" spans="1:9" x14ac:dyDescent="0.3">
      <c r="A369" s="15">
        <f t="shared" si="18"/>
        <v>45467</v>
      </c>
      <c r="B369" s="16">
        <v>116</v>
      </c>
      <c r="C369" s="6">
        <v>175</v>
      </c>
      <c r="D369" s="6">
        <v>172</v>
      </c>
      <c r="E369" s="6">
        <v>7239</v>
      </c>
      <c r="F369" s="6">
        <v>202</v>
      </c>
      <c r="G369" s="2"/>
      <c r="H369" s="4"/>
      <c r="I369" s="2"/>
    </row>
    <row r="370" spans="1:9" x14ac:dyDescent="0.3">
      <c r="A370" s="15">
        <f t="shared" si="18"/>
        <v>45466</v>
      </c>
      <c r="B370" s="16">
        <v>102</v>
      </c>
      <c r="C370" s="6">
        <v>227</v>
      </c>
      <c r="D370" s="6">
        <v>201</v>
      </c>
      <c r="E370" s="6">
        <v>7247</v>
      </c>
      <c r="F370" s="6">
        <v>294</v>
      </c>
      <c r="G370" s="2"/>
      <c r="H370" s="4"/>
      <c r="I370" s="2"/>
    </row>
    <row r="371" spans="1:9" x14ac:dyDescent="0.3">
      <c r="A371" s="15">
        <f>A370-3</f>
        <v>45463</v>
      </c>
      <c r="B371" s="16">
        <v>145</v>
      </c>
      <c r="C371" s="6">
        <v>247</v>
      </c>
      <c r="D371" s="6">
        <v>243</v>
      </c>
      <c r="E371" s="6">
        <v>7431</v>
      </c>
      <c r="F371" s="6">
        <v>235</v>
      </c>
      <c r="G371" s="2"/>
      <c r="H371" s="4"/>
      <c r="I371" s="2"/>
    </row>
    <row r="372" spans="1:9" x14ac:dyDescent="0.3">
      <c r="A372" s="15">
        <f>A371-1</f>
        <v>45462</v>
      </c>
      <c r="B372" s="16">
        <v>204</v>
      </c>
      <c r="C372" s="6">
        <v>321</v>
      </c>
      <c r="D372" s="6">
        <v>246</v>
      </c>
      <c r="E372" s="6">
        <v>7433</v>
      </c>
      <c r="F372" s="6">
        <v>198</v>
      </c>
      <c r="G372" s="2"/>
      <c r="H372" s="4"/>
      <c r="I372" s="2"/>
    </row>
    <row r="373" spans="1:9" x14ac:dyDescent="0.3">
      <c r="A373" s="15">
        <f t="shared" ref="A373:A375" si="19">A372-1</f>
        <v>45461</v>
      </c>
      <c r="B373" s="16">
        <v>160</v>
      </c>
      <c r="C373" s="6">
        <v>297</v>
      </c>
      <c r="D373" s="6">
        <v>253</v>
      </c>
      <c r="E373" s="6">
        <v>7340</v>
      </c>
      <c r="F373" s="6">
        <v>214</v>
      </c>
      <c r="G373" s="2"/>
      <c r="H373" s="4"/>
      <c r="I373" s="2"/>
    </row>
    <row r="374" spans="1:9" x14ac:dyDescent="0.3">
      <c r="A374" s="15">
        <f t="shared" si="19"/>
        <v>45460</v>
      </c>
      <c r="B374" s="16">
        <v>159</v>
      </c>
      <c r="C374" s="6">
        <v>310</v>
      </c>
      <c r="D374" s="6">
        <v>272</v>
      </c>
      <c r="E374" s="6">
        <v>7318</v>
      </c>
      <c r="F374" s="6">
        <v>224</v>
      </c>
      <c r="G374" s="2"/>
      <c r="H374" s="4"/>
      <c r="I374" s="2"/>
    </row>
    <row r="375" spans="1:9" x14ac:dyDescent="0.3">
      <c r="A375" s="15">
        <f t="shared" si="19"/>
        <v>45459</v>
      </c>
      <c r="B375" s="16">
        <v>204</v>
      </c>
      <c r="C375" s="6">
        <v>315</v>
      </c>
      <c r="D375" s="6">
        <v>233</v>
      </c>
      <c r="E375" s="6">
        <v>7307</v>
      </c>
      <c r="F375" s="6">
        <v>294</v>
      </c>
      <c r="G375" s="2"/>
      <c r="H375" s="4"/>
      <c r="I375" s="2"/>
    </row>
    <row r="376" spans="1:9" x14ac:dyDescent="0.3">
      <c r="A376" s="15">
        <f>A375-3</f>
        <v>45456</v>
      </c>
      <c r="B376" s="16">
        <v>167</v>
      </c>
      <c r="C376" s="6">
        <v>293</v>
      </c>
      <c r="D376" s="6">
        <v>230</v>
      </c>
      <c r="E376" s="6">
        <v>7544</v>
      </c>
      <c r="F376" s="6">
        <v>259</v>
      </c>
      <c r="G376" s="2"/>
      <c r="H376" s="4"/>
      <c r="I376" s="2"/>
    </row>
    <row r="377" spans="1:9" x14ac:dyDescent="0.3">
      <c r="A377" s="15">
        <f>A376-1</f>
        <v>45455</v>
      </c>
      <c r="B377" s="16">
        <v>152</v>
      </c>
      <c r="C377" s="6">
        <v>266</v>
      </c>
      <c r="D377" s="6">
        <v>274</v>
      </c>
      <c r="E377" s="6">
        <v>7548</v>
      </c>
      <c r="F377" s="6">
        <v>212</v>
      </c>
      <c r="G377" s="2"/>
      <c r="H377" s="4"/>
      <c r="I377" s="2"/>
    </row>
    <row r="378" spans="1:9" x14ac:dyDescent="0.3">
      <c r="A378" s="15">
        <f t="shared" ref="A378:A380" si="20">A377-1</f>
        <v>45454</v>
      </c>
      <c r="B378" s="16">
        <v>186</v>
      </c>
      <c r="C378" s="6">
        <v>352</v>
      </c>
      <c r="D378" s="6">
        <v>224</v>
      </c>
      <c r="E378" s="6">
        <v>7493</v>
      </c>
      <c r="F378" s="6">
        <v>156</v>
      </c>
      <c r="G378" s="2"/>
      <c r="H378" s="4"/>
      <c r="I378" s="2"/>
    </row>
    <row r="379" spans="1:9" x14ac:dyDescent="0.3">
      <c r="A379" s="15">
        <f t="shared" si="20"/>
        <v>45453</v>
      </c>
      <c r="B379" s="16">
        <v>184</v>
      </c>
      <c r="C379" s="6">
        <v>334</v>
      </c>
      <c r="D379" s="6">
        <v>229</v>
      </c>
      <c r="E379" s="6">
        <v>7439</v>
      </c>
      <c r="F379" s="6">
        <v>212</v>
      </c>
      <c r="G379" s="2"/>
      <c r="H379" s="4"/>
      <c r="I379" s="2"/>
    </row>
    <row r="380" spans="1:9" x14ac:dyDescent="0.3">
      <c r="A380" s="15">
        <f t="shared" si="20"/>
        <v>45452</v>
      </c>
      <c r="B380" s="16">
        <v>116</v>
      </c>
      <c r="C380" s="6">
        <v>289</v>
      </c>
      <c r="D380" s="6">
        <v>166</v>
      </c>
      <c r="E380" s="6">
        <v>7451</v>
      </c>
      <c r="F380" s="6">
        <v>312</v>
      </c>
      <c r="G380" s="2"/>
      <c r="H380" s="4"/>
      <c r="I380" s="2"/>
    </row>
    <row r="381" spans="1:9" x14ac:dyDescent="0.3">
      <c r="A381" s="15">
        <f>A380-3</f>
        <v>45449</v>
      </c>
      <c r="B381" s="16">
        <v>179</v>
      </c>
      <c r="C381" s="6">
        <v>326</v>
      </c>
      <c r="D381" s="6">
        <v>282</v>
      </c>
      <c r="E381" s="6">
        <v>7741</v>
      </c>
      <c r="F381" s="6">
        <v>238</v>
      </c>
      <c r="G381" s="2"/>
      <c r="H381" s="4"/>
      <c r="I381" s="2"/>
    </row>
    <row r="382" spans="1:9" x14ac:dyDescent="0.3">
      <c r="A382" s="15">
        <f>A381-1</f>
        <v>45448</v>
      </c>
      <c r="B382" s="16">
        <v>173</v>
      </c>
      <c r="C382" s="6">
        <v>345</v>
      </c>
      <c r="D382" s="6">
        <v>291</v>
      </c>
      <c r="E382" s="6">
        <v>7691</v>
      </c>
      <c r="F382" s="6">
        <v>198</v>
      </c>
      <c r="G382" s="2"/>
      <c r="H382" s="4"/>
      <c r="I382" s="2"/>
    </row>
    <row r="383" spans="1:9" x14ac:dyDescent="0.3">
      <c r="A383" s="15">
        <f t="shared" ref="A383:A385" si="21">A382-1</f>
        <v>45447</v>
      </c>
      <c r="B383" s="16">
        <v>260</v>
      </c>
      <c r="C383" s="6">
        <v>356</v>
      </c>
      <c r="D383" s="6">
        <v>176</v>
      </c>
      <c r="E383" s="6">
        <v>7565</v>
      </c>
      <c r="F383" s="6">
        <v>203</v>
      </c>
      <c r="G383" s="2"/>
      <c r="H383" s="4"/>
      <c r="I383" s="2"/>
    </row>
    <row r="384" spans="1:9" x14ac:dyDescent="0.3">
      <c r="A384" s="15">
        <f t="shared" si="21"/>
        <v>45446</v>
      </c>
      <c r="B384" s="16">
        <v>109</v>
      </c>
      <c r="C384" s="6">
        <v>244</v>
      </c>
      <c r="D384" s="6">
        <v>257</v>
      </c>
      <c r="E384" s="6">
        <v>7596</v>
      </c>
      <c r="F384" s="6">
        <v>224</v>
      </c>
      <c r="G384" s="2"/>
      <c r="H384" s="4"/>
      <c r="I384" s="2"/>
    </row>
    <row r="385" spans="1:9" x14ac:dyDescent="0.3">
      <c r="A385" s="15">
        <f t="shared" si="21"/>
        <v>45445</v>
      </c>
      <c r="B385" s="16">
        <v>159</v>
      </c>
      <c r="C385" s="6">
        <v>330</v>
      </c>
      <c r="D385" s="6">
        <v>322</v>
      </c>
      <c r="E385" s="6">
        <v>7546</v>
      </c>
      <c r="F385" s="6">
        <v>306</v>
      </c>
      <c r="G385" s="2"/>
      <c r="H385" s="4"/>
      <c r="I385" s="2"/>
    </row>
    <row r="386" spans="1:9" x14ac:dyDescent="0.3">
      <c r="A386" s="15">
        <v>45442</v>
      </c>
      <c r="B386" s="16">
        <v>167</v>
      </c>
      <c r="C386" s="6">
        <v>406</v>
      </c>
      <c r="D386" s="6">
        <v>339</v>
      </c>
      <c r="E386" s="6">
        <v>7563</v>
      </c>
      <c r="F386" s="6">
        <v>190</v>
      </c>
      <c r="G386" s="2"/>
      <c r="H386" s="4"/>
      <c r="I386" s="2"/>
    </row>
    <row r="387" spans="1:9" x14ac:dyDescent="0.3">
      <c r="A387" s="15">
        <v>45441</v>
      </c>
      <c r="B387" s="16">
        <v>182</v>
      </c>
      <c r="C387" s="6">
        <v>462</v>
      </c>
      <c r="D387" s="6">
        <v>158</v>
      </c>
      <c r="E387" s="6">
        <v>7491</v>
      </c>
      <c r="F387" s="6">
        <v>141</v>
      </c>
      <c r="G387" s="2"/>
    </row>
    <row r="388" spans="1:9" x14ac:dyDescent="0.3">
      <c r="A388" s="15">
        <v>45440</v>
      </c>
      <c r="B388" s="16">
        <v>153</v>
      </c>
      <c r="C388" s="6">
        <v>348</v>
      </c>
      <c r="D388" s="6">
        <v>239</v>
      </c>
      <c r="E388" s="6">
        <v>7418</v>
      </c>
      <c r="F388" s="6">
        <v>151</v>
      </c>
      <c r="G388" s="2"/>
    </row>
    <row r="389" spans="1:9" x14ac:dyDescent="0.3">
      <c r="A389" s="15">
        <v>45439</v>
      </c>
      <c r="B389" s="16">
        <v>156</v>
      </c>
      <c r="C389" s="6">
        <v>344</v>
      </c>
      <c r="D389" s="6">
        <v>252</v>
      </c>
      <c r="E389" s="6">
        <v>7365</v>
      </c>
      <c r="F389" s="6">
        <v>167</v>
      </c>
      <c r="G389" s="2"/>
    </row>
    <row r="390" spans="1:9" x14ac:dyDescent="0.3">
      <c r="A390" s="15">
        <v>45435</v>
      </c>
      <c r="B390" s="16">
        <v>193</v>
      </c>
      <c r="C390" s="6">
        <v>272</v>
      </c>
      <c r="D390" s="6">
        <v>314</v>
      </c>
      <c r="E390" s="6">
        <v>7494</v>
      </c>
      <c r="F390" s="6">
        <v>227</v>
      </c>
      <c r="G390" s="2"/>
    </row>
    <row r="391" spans="1:9" x14ac:dyDescent="0.3">
      <c r="A391" s="15">
        <v>45434</v>
      </c>
      <c r="B391" s="16">
        <v>168</v>
      </c>
      <c r="C391" s="6">
        <v>349</v>
      </c>
      <c r="D391" s="6">
        <v>272</v>
      </c>
      <c r="E391" s="6">
        <v>7474</v>
      </c>
      <c r="F391" s="6">
        <v>208</v>
      </c>
      <c r="G391" s="2"/>
    </row>
    <row r="392" spans="1:9" x14ac:dyDescent="0.3">
      <c r="A392" s="15">
        <v>45433</v>
      </c>
      <c r="B392" s="16">
        <v>196</v>
      </c>
      <c r="C392" s="6">
        <v>348</v>
      </c>
      <c r="D392" s="6">
        <v>176</v>
      </c>
      <c r="E392" s="6">
        <v>7404</v>
      </c>
      <c r="F392" s="6">
        <v>145</v>
      </c>
      <c r="G392" s="2"/>
    </row>
    <row r="393" spans="1:9" x14ac:dyDescent="0.3">
      <c r="A393" s="15">
        <v>45432</v>
      </c>
      <c r="B393" s="16">
        <v>111</v>
      </c>
      <c r="C393" s="6">
        <v>268</v>
      </c>
      <c r="D393" s="6">
        <v>217</v>
      </c>
      <c r="E393" s="6">
        <v>7368</v>
      </c>
      <c r="F393" s="6">
        <v>192</v>
      </c>
      <c r="G393" s="2"/>
    </row>
    <row r="394" spans="1:9" x14ac:dyDescent="0.3">
      <c r="A394" s="15">
        <v>45431</v>
      </c>
      <c r="B394" s="16">
        <v>143</v>
      </c>
      <c r="C394" s="6">
        <v>295</v>
      </c>
      <c r="D394" s="6">
        <v>278</v>
      </c>
      <c r="E394" s="6">
        <v>7356</v>
      </c>
      <c r="F394" s="6">
        <v>298</v>
      </c>
      <c r="G394" s="2"/>
    </row>
    <row r="395" spans="1:9" x14ac:dyDescent="0.3">
      <c r="A395" s="15">
        <v>45428</v>
      </c>
      <c r="B395" s="16">
        <v>206</v>
      </c>
      <c r="C395" s="6">
        <v>340</v>
      </c>
      <c r="D395" s="6">
        <v>214</v>
      </c>
      <c r="E395" s="6">
        <v>7565</v>
      </c>
      <c r="F395" s="6">
        <v>234</v>
      </c>
      <c r="G395" s="2"/>
    </row>
    <row r="396" spans="1:9" x14ac:dyDescent="0.3">
      <c r="A396" s="15">
        <v>45427</v>
      </c>
      <c r="B396" s="16">
        <v>115</v>
      </c>
      <c r="C396" s="6">
        <v>285</v>
      </c>
      <c r="D396" s="6">
        <v>341</v>
      </c>
      <c r="E396" s="6">
        <v>7589</v>
      </c>
      <c r="F396" s="6">
        <v>265</v>
      </c>
      <c r="G396" s="2"/>
    </row>
    <row r="397" spans="1:9" x14ac:dyDescent="0.3">
      <c r="A397" s="15">
        <v>45426</v>
      </c>
      <c r="B397" s="16">
        <v>246</v>
      </c>
      <c r="C397" s="6">
        <v>419</v>
      </c>
      <c r="D397" s="6">
        <v>218</v>
      </c>
      <c r="E397" s="6">
        <v>7546</v>
      </c>
      <c r="F397" s="6">
        <v>186</v>
      </c>
      <c r="G397" s="2"/>
    </row>
    <row r="398" spans="1:9" x14ac:dyDescent="0.3">
      <c r="A398" s="15">
        <v>45425</v>
      </c>
      <c r="B398" s="16">
        <v>112</v>
      </c>
      <c r="C398" s="6">
        <v>331</v>
      </c>
      <c r="D398" s="6">
        <v>167</v>
      </c>
      <c r="E398" s="6">
        <v>7499</v>
      </c>
      <c r="F398" s="6">
        <v>157</v>
      </c>
      <c r="G398" s="2"/>
    </row>
    <row r="399" spans="1:9" x14ac:dyDescent="0.3">
      <c r="A399" s="15">
        <v>45424</v>
      </c>
      <c r="B399" s="16">
        <v>138</v>
      </c>
      <c r="C399" s="6">
        <v>301</v>
      </c>
      <c r="D399" s="6">
        <v>263</v>
      </c>
      <c r="E399" s="6">
        <v>7464</v>
      </c>
      <c r="F399" s="6">
        <v>245</v>
      </c>
      <c r="G399" s="2"/>
    </row>
    <row r="400" spans="1:9" x14ac:dyDescent="0.3">
      <c r="A400" s="15">
        <v>45421</v>
      </c>
      <c r="B400" s="16">
        <v>138</v>
      </c>
      <c r="C400" s="6">
        <v>285</v>
      </c>
      <c r="D400" s="6">
        <v>268</v>
      </c>
      <c r="E400" s="6">
        <v>7570</v>
      </c>
      <c r="F400" s="6">
        <v>244</v>
      </c>
      <c r="G400" s="2"/>
    </row>
    <row r="401" spans="1:7" x14ac:dyDescent="0.3">
      <c r="A401" s="15">
        <v>45420</v>
      </c>
      <c r="B401" s="16">
        <v>167</v>
      </c>
      <c r="C401" s="6">
        <v>374</v>
      </c>
      <c r="D401" s="6">
        <v>205</v>
      </c>
      <c r="E401" s="6">
        <v>7583</v>
      </c>
      <c r="F401" s="6">
        <v>202</v>
      </c>
      <c r="G401" s="2"/>
    </row>
    <row r="402" spans="1:7" x14ac:dyDescent="0.3">
      <c r="A402" s="15">
        <v>45419</v>
      </c>
      <c r="B402" s="16">
        <v>176</v>
      </c>
      <c r="C402" s="6">
        <v>334</v>
      </c>
      <c r="D402" s="6">
        <v>246</v>
      </c>
      <c r="E402" s="6">
        <v>7566</v>
      </c>
      <c r="F402" s="6">
        <v>163</v>
      </c>
      <c r="G402" s="2"/>
    </row>
    <row r="403" spans="1:7" x14ac:dyDescent="0.3">
      <c r="A403" s="15">
        <v>45418</v>
      </c>
      <c r="B403" s="16">
        <v>173</v>
      </c>
      <c r="C403" s="6">
        <v>337</v>
      </c>
      <c r="D403" s="6">
        <v>211</v>
      </c>
      <c r="E403" s="6">
        <v>7449</v>
      </c>
      <c r="F403" s="6">
        <v>205</v>
      </c>
      <c r="G403" s="2"/>
    </row>
    <row r="404" spans="1:7" x14ac:dyDescent="0.3">
      <c r="A404" s="15">
        <v>45417</v>
      </c>
      <c r="B404" s="16">
        <v>150</v>
      </c>
      <c r="C404" s="6">
        <v>315</v>
      </c>
      <c r="D404" s="6">
        <v>228</v>
      </c>
      <c r="E404" s="6">
        <v>7447</v>
      </c>
      <c r="F404" s="6">
        <v>332</v>
      </c>
      <c r="G404" s="2"/>
    </row>
    <row r="405" spans="1:7" x14ac:dyDescent="0.3">
      <c r="A405" s="15">
        <v>45414</v>
      </c>
      <c r="B405" s="16">
        <v>206</v>
      </c>
      <c r="C405" s="6">
        <v>411</v>
      </c>
      <c r="D405" s="6">
        <v>293</v>
      </c>
      <c r="E405" s="6">
        <v>7577</v>
      </c>
      <c r="F405" s="6">
        <v>194</v>
      </c>
      <c r="G405" s="2"/>
    </row>
    <row r="406" spans="1:7" x14ac:dyDescent="0.3">
      <c r="A406" s="15">
        <v>45413</v>
      </c>
      <c r="B406" s="16">
        <v>197</v>
      </c>
      <c r="C406" s="6">
        <v>437</v>
      </c>
      <c r="D406" s="6">
        <v>295</v>
      </c>
      <c r="E406" s="6">
        <v>7508</v>
      </c>
      <c r="F406" s="6">
        <v>190</v>
      </c>
      <c r="G406" s="2"/>
    </row>
    <row r="407" spans="1:7" x14ac:dyDescent="0.3">
      <c r="A407" s="15">
        <v>45412</v>
      </c>
      <c r="B407" s="16">
        <v>220</v>
      </c>
      <c r="C407" s="6">
        <v>443</v>
      </c>
      <c r="D407" s="6">
        <v>194</v>
      </c>
      <c r="E407" s="6">
        <v>7431</v>
      </c>
      <c r="F407" s="6">
        <v>135</v>
      </c>
      <c r="G407" s="2"/>
    </row>
    <row r="408" spans="1:7" x14ac:dyDescent="0.3">
      <c r="A408" s="15">
        <v>45411</v>
      </c>
      <c r="B408" s="16">
        <v>140</v>
      </c>
      <c r="C408" s="6">
        <v>292</v>
      </c>
      <c r="D408" s="6">
        <v>255</v>
      </c>
      <c r="E408" s="6">
        <v>7373</v>
      </c>
      <c r="F408" s="6">
        <v>187</v>
      </c>
      <c r="G408" s="2"/>
    </row>
    <row r="409" spans="1:7" x14ac:dyDescent="0.3">
      <c r="A409" s="15">
        <v>45410</v>
      </c>
      <c r="B409" s="16">
        <v>158</v>
      </c>
      <c r="C409" s="6">
        <v>349</v>
      </c>
      <c r="D409" s="6">
        <v>365</v>
      </c>
      <c r="E409" s="6">
        <v>7298</v>
      </c>
      <c r="F409" s="6">
        <v>250</v>
      </c>
      <c r="G409" s="2"/>
    </row>
    <row r="410" spans="1:7" x14ac:dyDescent="0.3">
      <c r="A410" s="15">
        <v>45407</v>
      </c>
      <c r="B410" s="16">
        <v>145</v>
      </c>
      <c r="C410" s="6">
        <v>357</v>
      </c>
      <c r="D410" s="6">
        <v>333</v>
      </c>
      <c r="E410" s="6">
        <v>7209</v>
      </c>
      <c r="F410" s="6">
        <v>217</v>
      </c>
      <c r="G410" s="2"/>
    </row>
    <row r="411" spans="1:7" x14ac:dyDescent="0.3">
      <c r="A411" s="15">
        <v>45406</v>
      </c>
      <c r="B411" s="16">
        <v>253</v>
      </c>
      <c r="C411" s="6">
        <v>411</v>
      </c>
      <c r="D411" s="6">
        <v>307</v>
      </c>
      <c r="E411" s="6">
        <v>7128</v>
      </c>
      <c r="F411" s="6">
        <v>154</v>
      </c>
      <c r="G411" s="2"/>
    </row>
    <row r="412" spans="1:7" x14ac:dyDescent="0.3">
      <c r="A412" s="15">
        <v>45405</v>
      </c>
      <c r="B412" s="16">
        <v>252</v>
      </c>
      <c r="C412" s="6">
        <v>427</v>
      </c>
      <c r="D412" s="6">
        <v>307</v>
      </c>
      <c r="E412" s="6">
        <v>6967</v>
      </c>
      <c r="F412" s="6">
        <v>134</v>
      </c>
      <c r="G412" s="2"/>
    </row>
    <row r="413" spans="1:7" x14ac:dyDescent="0.3">
      <c r="A413" s="15">
        <v>45404</v>
      </c>
      <c r="B413" s="16">
        <v>176</v>
      </c>
      <c r="C413" s="6">
        <v>424</v>
      </c>
      <c r="D413" s="6">
        <v>251</v>
      </c>
      <c r="E413" s="6">
        <v>6799</v>
      </c>
      <c r="F413" s="6">
        <v>214</v>
      </c>
      <c r="G413" s="2"/>
    </row>
    <row r="414" spans="1:7" x14ac:dyDescent="0.3">
      <c r="A414" s="15">
        <v>45403</v>
      </c>
      <c r="B414" s="16">
        <v>208</v>
      </c>
      <c r="C414" s="6">
        <v>380</v>
      </c>
      <c r="D414" s="6">
        <v>343</v>
      </c>
      <c r="E414" s="6">
        <v>6745</v>
      </c>
      <c r="F414" s="6">
        <v>240</v>
      </c>
      <c r="G414" s="2"/>
    </row>
    <row r="415" spans="1:7" x14ac:dyDescent="0.3">
      <c r="A415" s="15">
        <v>45400</v>
      </c>
      <c r="B415" s="16">
        <v>144</v>
      </c>
      <c r="C415" s="6">
        <v>322</v>
      </c>
      <c r="D415" s="6">
        <v>258</v>
      </c>
      <c r="E415" s="6">
        <v>6728</v>
      </c>
      <c r="F415" s="6">
        <v>260</v>
      </c>
      <c r="G415" s="2"/>
    </row>
    <row r="416" spans="1:7" x14ac:dyDescent="0.3">
      <c r="A416" s="15">
        <v>45399</v>
      </c>
      <c r="B416" s="16">
        <v>182</v>
      </c>
      <c r="C416" s="6">
        <v>371</v>
      </c>
      <c r="D416" s="6">
        <v>274</v>
      </c>
      <c r="E416" s="6">
        <v>6725</v>
      </c>
      <c r="F416" s="6">
        <v>227</v>
      </c>
      <c r="G416" s="2"/>
    </row>
    <row r="417" spans="1:7" x14ac:dyDescent="0.3">
      <c r="A417" s="15">
        <v>45398</v>
      </c>
      <c r="B417" s="16">
        <v>219</v>
      </c>
      <c r="C417" s="6">
        <v>392</v>
      </c>
      <c r="D417" s="6">
        <v>205</v>
      </c>
      <c r="E417" s="6">
        <v>6685</v>
      </c>
      <c r="F417" s="6">
        <v>163</v>
      </c>
      <c r="G417" s="2"/>
    </row>
    <row r="418" spans="1:7" x14ac:dyDescent="0.3">
      <c r="A418" s="15">
        <v>45397</v>
      </c>
      <c r="B418" s="16">
        <v>144</v>
      </c>
      <c r="C418" s="6">
        <v>303</v>
      </c>
      <c r="D418" s="6">
        <v>176</v>
      </c>
      <c r="E418" s="6">
        <v>6681</v>
      </c>
      <c r="F418" s="6">
        <v>191</v>
      </c>
      <c r="G418" s="2"/>
    </row>
    <row r="419" spans="1:7" x14ac:dyDescent="0.3">
      <c r="A419" s="15">
        <v>45396</v>
      </c>
      <c r="B419" s="16">
        <v>128</v>
      </c>
      <c r="C419" s="6">
        <v>245</v>
      </c>
      <c r="D419" s="6">
        <v>243</v>
      </c>
      <c r="E419" s="6">
        <v>6630</v>
      </c>
      <c r="F419" s="6">
        <v>290</v>
      </c>
      <c r="G419" s="2"/>
    </row>
    <row r="420" spans="1:7" x14ac:dyDescent="0.3">
      <c r="A420" s="15">
        <v>45393</v>
      </c>
      <c r="B420" s="16">
        <v>183</v>
      </c>
      <c r="C420" s="6">
        <v>221</v>
      </c>
      <c r="D420" s="6">
        <v>220</v>
      </c>
      <c r="E420" s="6">
        <v>6912</v>
      </c>
      <c r="F420" s="6">
        <v>285</v>
      </c>
      <c r="G420" s="2"/>
    </row>
    <row r="421" spans="1:7" x14ac:dyDescent="0.3">
      <c r="A421" s="15">
        <v>45392</v>
      </c>
      <c r="B421" s="16">
        <v>117</v>
      </c>
      <c r="C421" s="6">
        <v>244</v>
      </c>
      <c r="D421" s="6">
        <v>142</v>
      </c>
      <c r="E421" s="6">
        <v>6999</v>
      </c>
      <c r="F421" s="6">
        <v>227</v>
      </c>
      <c r="G421" s="2"/>
    </row>
    <row r="422" spans="1:7" x14ac:dyDescent="0.3">
      <c r="A422" s="15">
        <v>45391</v>
      </c>
      <c r="B422" s="16">
        <v>118</v>
      </c>
      <c r="C422" s="6">
        <v>231</v>
      </c>
      <c r="D422" s="6">
        <v>217</v>
      </c>
      <c r="E422" s="6">
        <v>7043</v>
      </c>
      <c r="F422" s="6">
        <v>130</v>
      </c>
      <c r="G422" s="2"/>
    </row>
    <row r="423" spans="1:7" x14ac:dyDescent="0.3">
      <c r="A423" s="15">
        <v>45390</v>
      </c>
      <c r="B423" s="16">
        <v>102</v>
      </c>
      <c r="C423" s="6">
        <v>230</v>
      </c>
      <c r="D423" s="6">
        <v>167</v>
      </c>
      <c r="E423" s="6">
        <v>6988</v>
      </c>
      <c r="F423" s="6">
        <v>199</v>
      </c>
      <c r="G423" s="2"/>
    </row>
    <row r="424" spans="1:7" x14ac:dyDescent="0.3">
      <c r="A424" s="15">
        <v>45389</v>
      </c>
      <c r="B424" s="16">
        <v>106</v>
      </c>
      <c r="C424" s="6">
        <v>239</v>
      </c>
      <c r="D424" s="6">
        <v>233</v>
      </c>
      <c r="E424" s="6">
        <v>6982</v>
      </c>
      <c r="F424" s="6">
        <v>279</v>
      </c>
      <c r="G424" s="2"/>
    </row>
    <row r="425" spans="1:7" x14ac:dyDescent="0.3">
      <c r="A425" s="15">
        <v>45386</v>
      </c>
      <c r="B425" s="16">
        <v>95</v>
      </c>
      <c r="C425" s="6">
        <v>226</v>
      </c>
      <c r="D425" s="6">
        <v>152</v>
      </c>
      <c r="E425" s="6">
        <v>7317</v>
      </c>
      <c r="F425" s="6">
        <v>225</v>
      </c>
      <c r="G425" s="2"/>
    </row>
    <row r="426" spans="1:7" x14ac:dyDescent="0.3">
      <c r="A426" s="15">
        <v>45385</v>
      </c>
      <c r="B426" s="16">
        <v>124</v>
      </c>
      <c r="C426" s="6">
        <v>230</v>
      </c>
      <c r="D426" s="6">
        <v>190</v>
      </c>
      <c r="E426" s="6">
        <v>7346</v>
      </c>
      <c r="F426" s="6">
        <v>163</v>
      </c>
      <c r="G426" s="2"/>
    </row>
    <row r="427" spans="1:7" x14ac:dyDescent="0.3">
      <c r="A427" s="15">
        <v>45384</v>
      </c>
      <c r="B427" s="16">
        <v>101</v>
      </c>
      <c r="C427" s="6">
        <v>230</v>
      </c>
      <c r="D427" s="6">
        <v>175</v>
      </c>
      <c r="E427" s="6">
        <v>7340</v>
      </c>
      <c r="F427" s="6">
        <v>132</v>
      </c>
      <c r="G427" s="2"/>
    </row>
    <row r="428" spans="1:7" x14ac:dyDescent="0.3">
      <c r="A428" s="15">
        <v>45383</v>
      </c>
      <c r="B428" s="16">
        <v>109</v>
      </c>
      <c r="C428" s="6">
        <v>235</v>
      </c>
      <c r="D428" s="6">
        <v>171</v>
      </c>
      <c r="E428" s="6">
        <v>7271</v>
      </c>
      <c r="F428" s="6">
        <v>172</v>
      </c>
      <c r="G428" s="2"/>
    </row>
    <row r="429" spans="1:7" x14ac:dyDescent="0.3">
      <c r="A429" s="15">
        <v>45382</v>
      </c>
      <c r="B429" s="16">
        <v>105</v>
      </c>
      <c r="C429" s="6">
        <v>254</v>
      </c>
      <c r="D429" s="6">
        <v>151</v>
      </c>
      <c r="E429" s="6">
        <v>7257</v>
      </c>
      <c r="F429" s="6">
        <v>287</v>
      </c>
      <c r="G429" s="2"/>
    </row>
    <row r="430" spans="1:7" x14ac:dyDescent="0.3">
      <c r="A430" s="15">
        <v>45379</v>
      </c>
      <c r="B430" s="16">
        <v>161</v>
      </c>
      <c r="C430" s="6">
        <v>288</v>
      </c>
      <c r="D430" s="6">
        <v>248</v>
      </c>
      <c r="E430" s="6">
        <v>7762</v>
      </c>
      <c r="F430" s="6">
        <v>360</v>
      </c>
      <c r="G430" s="2"/>
    </row>
    <row r="431" spans="1:7" x14ac:dyDescent="0.3">
      <c r="A431" s="15">
        <v>45378</v>
      </c>
      <c r="B431" s="16">
        <v>129</v>
      </c>
      <c r="C431" s="6">
        <v>287</v>
      </c>
      <c r="D431" s="6">
        <v>185</v>
      </c>
      <c r="E431" s="6">
        <v>7893</v>
      </c>
      <c r="F431" s="6">
        <v>215</v>
      </c>
      <c r="G431" s="2"/>
    </row>
    <row r="432" spans="1:7" x14ac:dyDescent="0.3">
      <c r="A432" s="15">
        <v>45377</v>
      </c>
      <c r="B432" s="16">
        <v>187</v>
      </c>
      <c r="C432" s="6">
        <v>276</v>
      </c>
      <c r="D432" s="6">
        <v>200</v>
      </c>
      <c r="E432" s="6">
        <v>7919</v>
      </c>
      <c r="F432" s="6">
        <v>208</v>
      </c>
      <c r="G432" s="2"/>
    </row>
    <row r="433" spans="1:7" x14ac:dyDescent="0.3">
      <c r="A433" s="15">
        <v>45376</v>
      </c>
      <c r="B433" s="16">
        <v>128</v>
      </c>
      <c r="C433" s="6">
        <v>242</v>
      </c>
      <c r="D433" s="6">
        <v>224</v>
      </c>
      <c r="E433" s="6">
        <v>7899</v>
      </c>
      <c r="F433" s="6">
        <v>229</v>
      </c>
      <c r="G433" s="2"/>
    </row>
    <row r="434" spans="1:7" x14ac:dyDescent="0.3">
      <c r="A434" s="15">
        <v>45375</v>
      </c>
      <c r="B434" s="16">
        <v>124</v>
      </c>
      <c r="C434" s="6">
        <v>264</v>
      </c>
      <c r="D434" s="6">
        <v>221</v>
      </c>
      <c r="E434" s="6">
        <v>7899</v>
      </c>
      <c r="F434" s="6">
        <v>373</v>
      </c>
      <c r="G434" s="2"/>
    </row>
    <row r="435" spans="1:7" x14ac:dyDescent="0.3">
      <c r="A435" s="15">
        <v>45372</v>
      </c>
      <c r="B435" s="16">
        <v>132</v>
      </c>
      <c r="C435" s="6">
        <v>261</v>
      </c>
      <c r="D435" s="6">
        <v>141</v>
      </c>
      <c r="E435" s="6">
        <v>8292</v>
      </c>
      <c r="F435" s="6">
        <v>235</v>
      </c>
      <c r="G435" s="2"/>
    </row>
    <row r="436" spans="1:7" x14ac:dyDescent="0.3">
      <c r="A436" s="15">
        <v>45371</v>
      </c>
      <c r="B436" s="16">
        <v>91</v>
      </c>
      <c r="C436" s="6">
        <v>181</v>
      </c>
      <c r="D436" s="6">
        <v>174</v>
      </c>
      <c r="E436" s="6">
        <v>8365</v>
      </c>
      <c r="F436" s="6">
        <v>227</v>
      </c>
      <c r="G436" s="2"/>
    </row>
    <row r="437" spans="1:7" x14ac:dyDescent="0.3">
      <c r="A437" s="15">
        <v>45370</v>
      </c>
      <c r="B437" s="16">
        <v>99</v>
      </c>
      <c r="C437" s="6">
        <v>202</v>
      </c>
      <c r="D437" s="6">
        <v>256</v>
      </c>
      <c r="E437" s="6">
        <v>8390</v>
      </c>
      <c r="F437" s="6">
        <v>197</v>
      </c>
      <c r="G437" s="2"/>
    </row>
    <row r="438" spans="1:7" x14ac:dyDescent="0.3">
      <c r="A438" s="15">
        <v>45369</v>
      </c>
      <c r="B438" s="16">
        <v>123</v>
      </c>
      <c r="C438" s="6">
        <v>243</v>
      </c>
      <c r="D438" s="6">
        <v>188</v>
      </c>
      <c r="E438" s="6">
        <v>8333</v>
      </c>
      <c r="F438" s="6">
        <v>283</v>
      </c>
      <c r="G438" s="2"/>
    </row>
    <row r="439" spans="1:7" x14ac:dyDescent="0.3">
      <c r="A439" s="15">
        <v>45368</v>
      </c>
      <c r="B439" s="16">
        <v>127</v>
      </c>
      <c r="C439" s="6">
        <v>260</v>
      </c>
      <c r="D439" s="6">
        <v>259</v>
      </c>
      <c r="E439" s="6">
        <v>8373</v>
      </c>
      <c r="F439" s="6">
        <v>342</v>
      </c>
      <c r="G439" s="2"/>
    </row>
    <row r="440" spans="1:7" x14ac:dyDescent="0.3">
      <c r="A440" s="15">
        <v>45365</v>
      </c>
      <c r="B440" s="16">
        <v>166</v>
      </c>
      <c r="C440" s="6">
        <v>301</v>
      </c>
      <c r="D440" s="6">
        <v>252</v>
      </c>
      <c r="E440" s="6">
        <v>8695</v>
      </c>
      <c r="F440" s="6">
        <v>310</v>
      </c>
      <c r="G440" s="2"/>
    </row>
    <row r="441" spans="1:7" x14ac:dyDescent="0.3">
      <c r="A441" s="15">
        <v>45364</v>
      </c>
      <c r="B441" s="16">
        <v>165</v>
      </c>
      <c r="C441" s="6">
        <v>358</v>
      </c>
      <c r="D441" s="6">
        <v>167</v>
      </c>
      <c r="E441" s="6">
        <v>8819</v>
      </c>
      <c r="F441" s="6">
        <v>239</v>
      </c>
      <c r="G441" s="2"/>
    </row>
    <row r="442" spans="1:7" x14ac:dyDescent="0.3">
      <c r="A442" s="15">
        <v>45363</v>
      </c>
      <c r="B442" s="16">
        <v>154</v>
      </c>
      <c r="C442" s="6">
        <v>294</v>
      </c>
      <c r="D442" s="6">
        <v>290</v>
      </c>
      <c r="E442" s="6">
        <v>8843</v>
      </c>
      <c r="F442" s="6">
        <v>213</v>
      </c>
      <c r="G442" s="2"/>
    </row>
    <row r="443" spans="1:7" x14ac:dyDescent="0.3">
      <c r="A443" s="15">
        <v>45362</v>
      </c>
      <c r="B443" s="16">
        <v>178</v>
      </c>
      <c r="C443" s="6">
        <v>336</v>
      </c>
      <c r="D443" s="6">
        <v>290</v>
      </c>
      <c r="E443" s="6">
        <v>8757</v>
      </c>
      <c r="F443" s="6">
        <v>253</v>
      </c>
      <c r="G443" s="2"/>
    </row>
    <row r="444" spans="1:7" x14ac:dyDescent="0.3">
      <c r="A444" s="15">
        <v>45361</v>
      </c>
      <c r="B444" s="16">
        <v>190</v>
      </c>
      <c r="C444" s="6">
        <v>368</v>
      </c>
      <c r="D444" s="6">
        <v>326</v>
      </c>
      <c r="E444" s="6">
        <v>8714</v>
      </c>
      <c r="F444" s="6">
        <v>373</v>
      </c>
      <c r="G444" s="2"/>
    </row>
    <row r="445" spans="1:7" x14ac:dyDescent="0.3">
      <c r="A445" s="15">
        <v>45358</v>
      </c>
      <c r="B445" s="16">
        <v>181</v>
      </c>
      <c r="C445" s="6">
        <v>424</v>
      </c>
      <c r="D445" s="6">
        <v>328</v>
      </c>
      <c r="E445" s="6">
        <v>8902</v>
      </c>
      <c r="F445" s="6">
        <v>305</v>
      </c>
      <c r="G445" s="2"/>
    </row>
    <row r="446" spans="1:7" x14ac:dyDescent="0.3">
      <c r="A446" s="15">
        <v>45357</v>
      </c>
      <c r="B446" s="16">
        <v>230</v>
      </c>
      <c r="C446" s="6">
        <v>457</v>
      </c>
      <c r="D446" s="6">
        <v>277</v>
      </c>
      <c r="E446" s="6">
        <v>8870</v>
      </c>
      <c r="F446" s="6">
        <v>232</v>
      </c>
      <c r="G446" s="2"/>
    </row>
    <row r="447" spans="1:7" x14ac:dyDescent="0.3">
      <c r="A447" s="15">
        <v>45356</v>
      </c>
      <c r="B447" s="16">
        <v>246</v>
      </c>
      <c r="C447" s="6">
        <v>472</v>
      </c>
      <c r="D447" s="6">
        <v>345</v>
      </c>
      <c r="E447" s="6">
        <v>8800</v>
      </c>
      <c r="F447" s="6">
        <v>214</v>
      </c>
      <c r="G447" s="2"/>
    </row>
    <row r="448" spans="1:7" x14ac:dyDescent="0.3">
      <c r="A448" s="15">
        <v>45355</v>
      </c>
      <c r="B448" s="16">
        <v>225</v>
      </c>
      <c r="C448" s="6">
        <v>509</v>
      </c>
      <c r="D448" s="6">
        <v>340</v>
      </c>
      <c r="E448" s="6">
        <v>8660</v>
      </c>
      <c r="F448" s="6">
        <v>229</v>
      </c>
      <c r="G448" s="2"/>
    </row>
    <row r="449" spans="1:7" x14ac:dyDescent="0.3">
      <c r="A449" s="15">
        <v>45354</v>
      </c>
      <c r="B449" s="16">
        <v>236</v>
      </c>
      <c r="C449" s="6">
        <v>468</v>
      </c>
      <c r="D449" s="6">
        <v>347</v>
      </c>
      <c r="E449" s="6">
        <v>8594</v>
      </c>
      <c r="F449" s="6">
        <v>354</v>
      </c>
      <c r="G449" s="2"/>
    </row>
    <row r="450" spans="1:7" x14ac:dyDescent="0.3">
      <c r="A450" s="15">
        <v>45351</v>
      </c>
      <c r="B450" s="16">
        <v>262</v>
      </c>
      <c r="C450" s="6">
        <v>444</v>
      </c>
      <c r="D450" s="6">
        <v>354</v>
      </c>
      <c r="E450" s="6">
        <v>8724</v>
      </c>
      <c r="F450" s="6">
        <v>299</v>
      </c>
      <c r="G450" s="2"/>
    </row>
    <row r="451" spans="1:7" x14ac:dyDescent="0.3">
      <c r="A451" s="15">
        <v>45350</v>
      </c>
      <c r="B451" s="16">
        <v>209</v>
      </c>
      <c r="C451" s="6">
        <v>447</v>
      </c>
      <c r="D451" s="6">
        <v>274</v>
      </c>
      <c r="E451" s="6">
        <v>8699</v>
      </c>
      <c r="F451" s="6">
        <v>257</v>
      </c>
      <c r="G451" s="2"/>
    </row>
    <row r="452" spans="1:7" x14ac:dyDescent="0.3">
      <c r="A452" s="15">
        <v>45349</v>
      </c>
      <c r="B452" s="16">
        <v>197</v>
      </c>
      <c r="C452" s="6">
        <v>369</v>
      </c>
      <c r="D452" s="6">
        <v>306</v>
      </c>
      <c r="E452" s="6">
        <v>8650</v>
      </c>
      <c r="F452" s="6">
        <v>206</v>
      </c>
      <c r="G452" s="2"/>
    </row>
    <row r="453" spans="1:7" x14ac:dyDescent="0.3">
      <c r="A453" s="15">
        <v>45348</v>
      </c>
      <c r="B453" s="16">
        <v>199</v>
      </c>
      <c r="C453" s="6">
        <v>438</v>
      </c>
      <c r="D453" s="6">
        <v>326</v>
      </c>
      <c r="E453" s="6">
        <v>8404</v>
      </c>
      <c r="F453" s="6">
        <v>329</v>
      </c>
      <c r="G453" s="2"/>
    </row>
    <row r="454" spans="1:7" x14ac:dyDescent="0.3">
      <c r="A454" s="15">
        <v>45347</v>
      </c>
      <c r="B454" s="16">
        <v>244</v>
      </c>
      <c r="C454" s="6">
        <v>482</v>
      </c>
      <c r="D454" s="6">
        <v>366</v>
      </c>
      <c r="E454" s="6">
        <v>8404</v>
      </c>
      <c r="F454" s="6">
        <v>329</v>
      </c>
      <c r="G454" s="2"/>
    </row>
    <row r="455" spans="1:7" x14ac:dyDescent="0.3">
      <c r="A455" s="15">
        <v>45344</v>
      </c>
      <c r="B455" s="16">
        <v>165</v>
      </c>
      <c r="C455" s="6">
        <v>400</v>
      </c>
      <c r="D455" s="6">
        <v>292</v>
      </c>
      <c r="E455" s="6">
        <v>8607</v>
      </c>
      <c r="F455" s="6">
        <v>293</v>
      </c>
      <c r="G455" s="2"/>
    </row>
    <row r="456" spans="1:7" x14ac:dyDescent="0.3">
      <c r="A456" s="15">
        <v>45343</v>
      </c>
      <c r="B456" s="16">
        <v>232</v>
      </c>
      <c r="C456" s="6">
        <v>430</v>
      </c>
      <c r="D456" s="6">
        <v>318</v>
      </c>
      <c r="E456" s="6">
        <v>8573</v>
      </c>
      <c r="F456" s="6">
        <v>231</v>
      </c>
      <c r="G456" s="2"/>
    </row>
    <row r="457" spans="1:7" x14ac:dyDescent="0.3">
      <c r="A457" s="15">
        <v>45342</v>
      </c>
      <c r="B457" s="16">
        <v>149</v>
      </c>
      <c r="C457" s="6">
        <v>395</v>
      </c>
      <c r="D457" s="6">
        <v>273</v>
      </c>
      <c r="E457" s="6">
        <v>8488</v>
      </c>
      <c r="F457" s="6">
        <v>192</v>
      </c>
      <c r="G457" s="2"/>
    </row>
    <row r="458" spans="1:7" x14ac:dyDescent="0.3">
      <c r="A458" s="15">
        <v>45341</v>
      </c>
      <c r="B458" s="16">
        <v>249</v>
      </c>
      <c r="C458" s="6">
        <v>420</v>
      </c>
      <c r="D458" s="6">
        <v>371</v>
      </c>
      <c r="E458" s="6">
        <v>8380</v>
      </c>
      <c r="F458" s="6">
        <v>218</v>
      </c>
      <c r="G458" s="2"/>
    </row>
    <row r="459" spans="1:7" x14ac:dyDescent="0.3">
      <c r="A459" s="15">
        <v>45337</v>
      </c>
      <c r="B459" s="16">
        <v>333</v>
      </c>
      <c r="C459" s="6">
        <v>508</v>
      </c>
      <c r="D459" s="6">
        <v>272</v>
      </c>
      <c r="E459" s="6">
        <v>8463</v>
      </c>
      <c r="F459" s="6">
        <v>312</v>
      </c>
      <c r="G459" s="2"/>
    </row>
    <row r="460" spans="1:7" x14ac:dyDescent="0.3">
      <c r="A460" s="15">
        <v>45336</v>
      </c>
      <c r="B460" s="16">
        <v>185</v>
      </c>
      <c r="C460" s="6">
        <v>322</v>
      </c>
      <c r="D460" s="6">
        <v>272</v>
      </c>
      <c r="E460" s="6">
        <v>8512</v>
      </c>
      <c r="F460" s="6">
        <v>230</v>
      </c>
      <c r="G460" s="2"/>
    </row>
    <row r="461" spans="1:7" x14ac:dyDescent="0.3">
      <c r="A461" s="15">
        <v>45335</v>
      </c>
      <c r="B461" s="16">
        <v>227</v>
      </c>
      <c r="C461" s="6">
        <v>369</v>
      </c>
      <c r="D461" s="6">
        <v>349</v>
      </c>
      <c r="E461" s="6">
        <v>8348</v>
      </c>
      <c r="F461" s="6">
        <v>160</v>
      </c>
      <c r="G461" s="2"/>
    </row>
    <row r="462" spans="1:7" x14ac:dyDescent="0.3">
      <c r="A462" s="15">
        <v>45334</v>
      </c>
      <c r="B462" s="16">
        <v>213</v>
      </c>
      <c r="C462" s="6">
        <v>430</v>
      </c>
      <c r="D462" s="6">
        <v>440</v>
      </c>
      <c r="E462" s="6">
        <v>8092</v>
      </c>
      <c r="F462" s="6">
        <v>234</v>
      </c>
      <c r="G462" s="2"/>
    </row>
    <row r="463" spans="1:7" x14ac:dyDescent="0.3">
      <c r="A463" s="15">
        <v>45333</v>
      </c>
      <c r="B463" s="16">
        <v>205</v>
      </c>
      <c r="C463" s="6">
        <v>515</v>
      </c>
      <c r="D463" s="6">
        <v>226</v>
      </c>
      <c r="E463" s="6">
        <v>8056</v>
      </c>
      <c r="F463" s="6">
        <v>347</v>
      </c>
      <c r="G463" s="2"/>
    </row>
    <row r="464" spans="1:7" x14ac:dyDescent="0.3">
      <c r="A464" s="15">
        <v>45330</v>
      </c>
      <c r="B464" s="16">
        <v>298</v>
      </c>
      <c r="C464" s="6">
        <v>499</v>
      </c>
      <c r="D464" s="6">
        <v>358</v>
      </c>
      <c r="E464" s="6">
        <v>8188</v>
      </c>
      <c r="F464" s="6">
        <v>315</v>
      </c>
      <c r="G464" s="2"/>
    </row>
    <row r="465" spans="1:7" x14ac:dyDescent="0.3">
      <c r="A465" s="15">
        <v>45329</v>
      </c>
      <c r="B465" s="16">
        <v>227</v>
      </c>
      <c r="C465" s="6">
        <v>453</v>
      </c>
      <c r="D465" s="6">
        <v>330</v>
      </c>
      <c r="E465" s="6">
        <v>8160</v>
      </c>
      <c r="F465" s="6">
        <v>222</v>
      </c>
      <c r="G465" s="2"/>
    </row>
    <row r="466" spans="1:7" x14ac:dyDescent="0.3">
      <c r="A466" s="15">
        <v>45328</v>
      </c>
      <c r="B466" s="16">
        <v>291</v>
      </c>
      <c r="C466" s="6">
        <v>455</v>
      </c>
      <c r="D466" s="6">
        <v>323</v>
      </c>
      <c r="E466" s="6">
        <v>8045</v>
      </c>
      <c r="F466" s="6">
        <v>178</v>
      </c>
      <c r="G466" s="2"/>
    </row>
    <row r="467" spans="1:7" x14ac:dyDescent="0.3">
      <c r="A467" s="15">
        <v>45327</v>
      </c>
      <c r="B467" s="16">
        <v>157</v>
      </c>
      <c r="C467" s="6">
        <v>466</v>
      </c>
      <c r="D467" s="6">
        <v>345</v>
      </c>
      <c r="E467" s="6">
        <v>7872</v>
      </c>
      <c r="F467" s="6">
        <v>242</v>
      </c>
      <c r="G467" s="2"/>
    </row>
    <row r="468" spans="1:7" x14ac:dyDescent="0.3">
      <c r="A468" s="15">
        <v>45326</v>
      </c>
      <c r="B468" s="16">
        <v>253</v>
      </c>
      <c r="C468" s="6">
        <v>531</v>
      </c>
      <c r="D468" s="6">
        <v>248</v>
      </c>
      <c r="E468" s="6">
        <v>7813</v>
      </c>
      <c r="F468" s="6">
        <v>342</v>
      </c>
      <c r="G468" s="2"/>
    </row>
    <row r="469" spans="1:7" x14ac:dyDescent="0.3">
      <c r="A469" s="15">
        <v>45323</v>
      </c>
      <c r="B469" s="16">
        <v>222</v>
      </c>
      <c r="C469" s="6">
        <v>459</v>
      </c>
      <c r="D469" s="6">
        <v>289</v>
      </c>
      <c r="E469" s="6">
        <v>8026</v>
      </c>
      <c r="F469" s="6">
        <v>337</v>
      </c>
      <c r="G469" s="2"/>
    </row>
    <row r="470" spans="1:7" x14ac:dyDescent="0.3">
      <c r="A470" s="15">
        <v>45322</v>
      </c>
      <c r="B470" s="16">
        <v>203</v>
      </c>
      <c r="C470" s="6">
        <v>477</v>
      </c>
      <c r="D470" s="6">
        <v>258</v>
      </c>
      <c r="E470" s="6">
        <v>8153</v>
      </c>
      <c r="F470" s="6">
        <v>266</v>
      </c>
      <c r="G470" s="2"/>
    </row>
    <row r="471" spans="1:7" x14ac:dyDescent="0.3">
      <c r="A471" s="15">
        <v>45321</v>
      </c>
      <c r="B471" s="16">
        <v>93</v>
      </c>
      <c r="C471" s="6">
        <v>198</v>
      </c>
      <c r="D471" s="6">
        <v>208</v>
      </c>
      <c r="E471" s="6">
        <v>8182</v>
      </c>
      <c r="F471" s="6">
        <v>187</v>
      </c>
      <c r="G471" s="2"/>
    </row>
    <row r="472" spans="1:7" x14ac:dyDescent="0.3">
      <c r="A472" s="15">
        <v>45320</v>
      </c>
      <c r="B472" s="16">
        <v>137</v>
      </c>
      <c r="C472" s="6">
        <v>272</v>
      </c>
      <c r="D472" s="6">
        <v>166</v>
      </c>
      <c r="E472" s="6">
        <v>8057</v>
      </c>
      <c r="F472" s="6">
        <v>195</v>
      </c>
      <c r="G472" s="2"/>
    </row>
    <row r="473" spans="1:7" x14ac:dyDescent="0.3">
      <c r="A473" s="15">
        <v>45319</v>
      </c>
      <c r="B473" s="16">
        <v>120</v>
      </c>
      <c r="C473" s="6">
        <v>257</v>
      </c>
      <c r="D473" s="6">
        <v>126</v>
      </c>
      <c r="E473" s="6">
        <v>8004</v>
      </c>
      <c r="F473" s="6">
        <v>307</v>
      </c>
      <c r="G473" s="2"/>
    </row>
    <row r="474" spans="1:7" x14ac:dyDescent="0.3">
      <c r="A474" s="15">
        <v>45316</v>
      </c>
      <c r="B474" s="16">
        <v>102</v>
      </c>
      <c r="C474" s="6">
        <v>189</v>
      </c>
      <c r="D474" s="6">
        <v>155</v>
      </c>
      <c r="E474" s="6">
        <v>8180</v>
      </c>
      <c r="F474" s="6">
        <v>293</v>
      </c>
      <c r="G474" s="2"/>
    </row>
    <row r="475" spans="1:7" x14ac:dyDescent="0.3">
      <c r="A475" s="15">
        <v>45315</v>
      </c>
      <c r="B475" s="16">
        <v>90</v>
      </c>
      <c r="C475" s="6">
        <v>196</v>
      </c>
      <c r="D475" s="6">
        <v>205</v>
      </c>
      <c r="E475" s="6">
        <v>8212</v>
      </c>
      <c r="F475" s="6">
        <v>243</v>
      </c>
      <c r="G475" s="2"/>
    </row>
    <row r="476" spans="1:7" x14ac:dyDescent="0.3">
      <c r="A476" s="15">
        <v>45314</v>
      </c>
      <c r="B476" s="16">
        <v>128</v>
      </c>
      <c r="C476" s="6">
        <v>228</v>
      </c>
      <c r="D476" s="6">
        <v>177</v>
      </c>
      <c r="E476" s="6">
        <v>8133</v>
      </c>
      <c r="F476" s="6">
        <v>202</v>
      </c>
      <c r="G476" s="2"/>
    </row>
    <row r="477" spans="1:7" x14ac:dyDescent="0.3">
      <c r="A477" s="15">
        <v>45313</v>
      </c>
      <c r="B477" s="16">
        <v>136</v>
      </c>
      <c r="C477" s="6">
        <v>246</v>
      </c>
      <c r="D477" s="6">
        <v>123</v>
      </c>
      <c r="E477" s="6">
        <v>8008</v>
      </c>
      <c r="F477" s="6">
        <v>222</v>
      </c>
      <c r="G477" s="2"/>
    </row>
    <row r="478" spans="1:7" x14ac:dyDescent="0.3">
      <c r="A478" s="15">
        <v>45312</v>
      </c>
      <c r="B478" s="16">
        <v>105</v>
      </c>
      <c r="C478" s="6">
        <v>185</v>
      </c>
      <c r="D478" s="6">
        <v>158</v>
      </c>
      <c r="E478" s="6">
        <v>7974</v>
      </c>
      <c r="F478" s="6">
        <v>371</v>
      </c>
      <c r="G478" s="2"/>
    </row>
    <row r="479" spans="1:7" x14ac:dyDescent="0.3">
      <c r="A479" s="15">
        <v>45309</v>
      </c>
      <c r="B479" s="16">
        <v>116</v>
      </c>
      <c r="C479" s="6">
        <v>188</v>
      </c>
      <c r="D479" s="6">
        <v>164</v>
      </c>
      <c r="E479" s="6">
        <v>8042</v>
      </c>
      <c r="F479" s="6">
        <v>359</v>
      </c>
      <c r="G479" s="2"/>
    </row>
    <row r="480" spans="1:7" x14ac:dyDescent="0.3">
      <c r="A480" s="15">
        <v>45308</v>
      </c>
      <c r="B480" s="16">
        <v>80</v>
      </c>
      <c r="C480" s="6">
        <v>176</v>
      </c>
      <c r="D480" s="6">
        <v>125</v>
      </c>
      <c r="E480" s="6">
        <v>8072</v>
      </c>
      <c r="F480" s="6">
        <v>353</v>
      </c>
      <c r="G480" s="2"/>
    </row>
    <row r="481" spans="1:7" x14ac:dyDescent="0.3">
      <c r="A481" s="15">
        <v>45307</v>
      </c>
      <c r="B481" s="16">
        <v>32</v>
      </c>
      <c r="C481" s="6">
        <v>49</v>
      </c>
      <c r="D481" s="6">
        <v>39</v>
      </c>
      <c r="E481" s="6">
        <v>8133</v>
      </c>
      <c r="F481" s="6">
        <v>188</v>
      </c>
      <c r="G481" s="2"/>
    </row>
    <row r="482" spans="1:7" x14ac:dyDescent="0.3">
      <c r="A482" s="15">
        <v>45306</v>
      </c>
      <c r="B482" s="16">
        <v>33</v>
      </c>
      <c r="C482" s="6">
        <v>53</v>
      </c>
      <c r="D482" s="6">
        <v>34</v>
      </c>
      <c r="E482" s="6">
        <v>8033</v>
      </c>
      <c r="F482" s="6">
        <v>234</v>
      </c>
      <c r="G482" s="2"/>
    </row>
    <row r="483" spans="1:7" x14ac:dyDescent="0.3">
      <c r="A483" s="15">
        <v>45302</v>
      </c>
      <c r="B483" s="16">
        <v>29</v>
      </c>
      <c r="C483" s="6">
        <v>51</v>
      </c>
      <c r="D483" s="6">
        <v>11</v>
      </c>
      <c r="E483" s="6">
        <v>8829</v>
      </c>
      <c r="F483" s="6">
        <v>476</v>
      </c>
      <c r="G483" s="2"/>
    </row>
    <row r="484" spans="1:7" x14ac:dyDescent="0.3">
      <c r="A484" s="15">
        <v>45301</v>
      </c>
      <c r="B484" s="16">
        <v>91</v>
      </c>
      <c r="C484" s="6">
        <v>75</v>
      </c>
      <c r="D484" s="6">
        <v>97</v>
      </c>
      <c r="E484" s="6">
        <v>9144</v>
      </c>
      <c r="F484" s="6">
        <v>349</v>
      </c>
      <c r="G484" s="2"/>
    </row>
    <row r="485" spans="1:7" x14ac:dyDescent="0.3">
      <c r="A485" s="15">
        <v>45300</v>
      </c>
      <c r="B485" s="16">
        <v>62</v>
      </c>
      <c r="C485" s="6">
        <v>97</v>
      </c>
      <c r="D485" s="6">
        <v>52</v>
      </c>
      <c r="E485" s="6">
        <v>9311</v>
      </c>
      <c r="F485" s="6">
        <v>286</v>
      </c>
      <c r="G485" s="2"/>
    </row>
    <row r="486" spans="1:7" x14ac:dyDescent="0.3">
      <c r="A486" s="15">
        <v>45299</v>
      </c>
      <c r="B486" s="16">
        <v>59</v>
      </c>
      <c r="C486" s="6">
        <v>64</v>
      </c>
      <c r="D486" s="6">
        <v>117</v>
      </c>
      <c r="E486" s="6">
        <v>9670</v>
      </c>
      <c r="F486" s="6">
        <v>367</v>
      </c>
      <c r="G486" s="2"/>
    </row>
    <row r="487" spans="1:7" x14ac:dyDescent="0.3">
      <c r="A487" s="15">
        <v>45298</v>
      </c>
      <c r="B487" s="16">
        <v>84</v>
      </c>
      <c r="C487" s="6">
        <v>118</v>
      </c>
      <c r="D487" s="6">
        <v>136</v>
      </c>
      <c r="E487" s="6">
        <v>9670</v>
      </c>
      <c r="F487" s="6">
        <v>367</v>
      </c>
      <c r="G487" s="2"/>
    </row>
    <row r="488" spans="1:7" x14ac:dyDescent="0.3">
      <c r="A488" s="15">
        <v>45295</v>
      </c>
      <c r="B488" s="16">
        <v>86</v>
      </c>
      <c r="C488" s="6">
        <v>152</v>
      </c>
      <c r="D488" s="6">
        <v>168</v>
      </c>
      <c r="E488" s="6">
        <v>10558</v>
      </c>
      <c r="F488" s="6">
        <v>362</v>
      </c>
      <c r="G488" s="2"/>
    </row>
    <row r="489" spans="1:7" x14ac:dyDescent="0.3">
      <c r="A489" s="15">
        <v>45294</v>
      </c>
      <c r="B489" s="16">
        <v>106</v>
      </c>
      <c r="C489" s="6">
        <v>196</v>
      </c>
      <c r="D489" s="6">
        <v>131</v>
      </c>
      <c r="E489" s="6">
        <v>10718</v>
      </c>
      <c r="F489" s="6">
        <v>263</v>
      </c>
      <c r="G489" s="2"/>
    </row>
    <row r="490" spans="1:7" x14ac:dyDescent="0.3">
      <c r="A490" s="15">
        <v>45293</v>
      </c>
      <c r="B490" s="16">
        <v>113</v>
      </c>
      <c r="C490" s="6">
        <v>162</v>
      </c>
      <c r="D490" s="6">
        <v>107</v>
      </c>
      <c r="E490" s="6">
        <v>10770</v>
      </c>
      <c r="F490" s="6">
        <v>316</v>
      </c>
      <c r="G490" s="2"/>
    </row>
    <row r="491" spans="1:7" x14ac:dyDescent="0.3">
      <c r="A491" s="15">
        <v>45292</v>
      </c>
      <c r="B491" s="16">
        <v>92</v>
      </c>
      <c r="C491" s="6">
        <v>124</v>
      </c>
      <c r="D491" s="6">
        <v>93</v>
      </c>
      <c r="E491" s="6">
        <v>10870</v>
      </c>
      <c r="F491" s="6">
        <v>290</v>
      </c>
      <c r="G491" s="2"/>
    </row>
    <row r="492" spans="1:7" x14ac:dyDescent="0.3">
      <c r="A492" s="15">
        <v>45288</v>
      </c>
      <c r="B492" s="16">
        <v>68</v>
      </c>
      <c r="C492" s="6">
        <v>107</v>
      </c>
      <c r="D492" s="6">
        <v>102</v>
      </c>
      <c r="E492" s="6">
        <v>11230</v>
      </c>
      <c r="F492" s="6">
        <v>357</v>
      </c>
      <c r="G492" s="2"/>
    </row>
    <row r="493" spans="1:7" x14ac:dyDescent="0.3">
      <c r="A493" s="15">
        <v>45287</v>
      </c>
      <c r="B493" s="16">
        <v>74</v>
      </c>
      <c r="C493" s="6">
        <v>103</v>
      </c>
      <c r="D493" s="6">
        <v>80</v>
      </c>
      <c r="E493" s="6">
        <v>11206</v>
      </c>
      <c r="F493" s="6">
        <v>335</v>
      </c>
      <c r="G493" s="2"/>
    </row>
    <row r="494" spans="1:7" x14ac:dyDescent="0.3">
      <c r="A494" s="15">
        <v>45286</v>
      </c>
      <c r="B494" s="16">
        <v>56</v>
      </c>
      <c r="C494" s="6">
        <v>82</v>
      </c>
      <c r="D494" s="6">
        <v>68</v>
      </c>
      <c r="E494" s="6">
        <v>11217</v>
      </c>
      <c r="F494" s="6">
        <v>288</v>
      </c>
      <c r="G494" s="2"/>
    </row>
    <row r="495" spans="1:7" x14ac:dyDescent="0.3">
      <c r="A495" s="15">
        <v>45285</v>
      </c>
      <c r="B495" s="16">
        <v>90</v>
      </c>
      <c r="C495" s="6">
        <v>196</v>
      </c>
      <c r="D495" s="6">
        <v>205</v>
      </c>
      <c r="E495" s="6">
        <v>11144</v>
      </c>
      <c r="F495" s="6">
        <v>347</v>
      </c>
      <c r="G495" s="2"/>
    </row>
    <row r="496" spans="1:7" x14ac:dyDescent="0.3">
      <c r="A496" s="15">
        <v>45281</v>
      </c>
      <c r="B496" s="16">
        <v>128</v>
      </c>
      <c r="C496" s="6">
        <v>228</v>
      </c>
      <c r="D496" s="6">
        <v>177</v>
      </c>
      <c r="E496" s="6">
        <v>11375</v>
      </c>
      <c r="F496" s="6">
        <v>497</v>
      </c>
      <c r="G496" s="2"/>
    </row>
    <row r="497" spans="1:7" x14ac:dyDescent="0.3">
      <c r="A497" s="15">
        <v>45280</v>
      </c>
      <c r="B497" s="16">
        <v>136</v>
      </c>
      <c r="C497" s="6">
        <v>246</v>
      </c>
      <c r="D497" s="6">
        <v>123</v>
      </c>
      <c r="E497" s="6">
        <v>11516</v>
      </c>
      <c r="F497" s="6">
        <v>390</v>
      </c>
      <c r="G497" s="2"/>
    </row>
    <row r="498" spans="1:7" x14ac:dyDescent="0.3">
      <c r="A498" s="15">
        <v>45279</v>
      </c>
      <c r="B498" s="16">
        <v>105</v>
      </c>
      <c r="C498" s="6">
        <v>185</v>
      </c>
      <c r="D498" s="6">
        <v>158</v>
      </c>
      <c r="E498" s="6">
        <v>11291</v>
      </c>
      <c r="F498" s="6">
        <v>272</v>
      </c>
      <c r="G498" s="2"/>
    </row>
    <row r="499" spans="1:7" x14ac:dyDescent="0.3">
      <c r="A499" s="15">
        <v>45278</v>
      </c>
      <c r="B499" s="16">
        <v>116</v>
      </c>
      <c r="C499" s="6">
        <v>188</v>
      </c>
      <c r="D499" s="6">
        <v>164</v>
      </c>
      <c r="E499" s="6">
        <v>11149</v>
      </c>
      <c r="F499" s="6">
        <v>364</v>
      </c>
      <c r="G499" s="2"/>
    </row>
    <row r="500" spans="1:7" x14ac:dyDescent="0.3">
      <c r="A500" s="15">
        <v>45277</v>
      </c>
      <c r="B500" s="16">
        <v>80</v>
      </c>
      <c r="C500" s="6">
        <v>176</v>
      </c>
      <c r="D500" s="6">
        <v>125</v>
      </c>
      <c r="E500" s="6">
        <v>11092</v>
      </c>
      <c r="F500" s="6">
        <v>456</v>
      </c>
      <c r="G500" s="2"/>
    </row>
    <row r="501" spans="1:7" x14ac:dyDescent="0.3">
      <c r="A501" s="15">
        <v>45274</v>
      </c>
      <c r="B501" s="16">
        <v>150</v>
      </c>
      <c r="C501" s="6">
        <v>157</v>
      </c>
      <c r="D501" s="6">
        <v>201</v>
      </c>
      <c r="E501" s="6">
        <v>11242</v>
      </c>
      <c r="F501" s="6">
        <v>396</v>
      </c>
      <c r="G501" s="2"/>
    </row>
    <row r="502" spans="1:7" x14ac:dyDescent="0.3">
      <c r="A502" s="15">
        <v>45273</v>
      </c>
      <c r="B502" s="16">
        <v>116</v>
      </c>
      <c r="C502" s="6">
        <v>181</v>
      </c>
      <c r="D502" s="6">
        <v>182</v>
      </c>
      <c r="E502" s="6">
        <v>11192</v>
      </c>
      <c r="F502" s="6">
        <v>335</v>
      </c>
      <c r="G502" s="2"/>
    </row>
    <row r="503" spans="1:7" x14ac:dyDescent="0.3">
      <c r="A503" s="15">
        <v>45272</v>
      </c>
      <c r="B503" s="16">
        <v>141</v>
      </c>
      <c r="C503" s="6">
        <v>173</v>
      </c>
      <c r="D503" s="6">
        <v>129</v>
      </c>
      <c r="E503" s="6">
        <v>11077</v>
      </c>
      <c r="F503" s="6">
        <v>259</v>
      </c>
      <c r="G503" s="2"/>
    </row>
    <row r="504" spans="1:7" x14ac:dyDescent="0.3">
      <c r="A504" s="15">
        <v>45271</v>
      </c>
      <c r="B504" s="16">
        <v>96</v>
      </c>
      <c r="C504" s="6">
        <v>160</v>
      </c>
      <c r="D504" s="6">
        <v>233</v>
      </c>
      <c r="E504" s="6">
        <v>10998</v>
      </c>
      <c r="F504" s="6">
        <v>304</v>
      </c>
      <c r="G504" s="2"/>
    </row>
    <row r="505" spans="1:7" x14ac:dyDescent="0.3">
      <c r="A505" s="15">
        <v>45270</v>
      </c>
      <c r="B505" s="16">
        <v>158</v>
      </c>
      <c r="C505" s="6">
        <v>226</v>
      </c>
      <c r="D505" s="6">
        <v>191</v>
      </c>
      <c r="E505" s="6">
        <v>10871</v>
      </c>
      <c r="F505" s="6">
        <v>411</v>
      </c>
      <c r="G505" s="2"/>
    </row>
    <row r="506" spans="1:7" x14ac:dyDescent="0.3">
      <c r="A506" s="15">
        <v>45267</v>
      </c>
      <c r="B506" s="16">
        <v>141</v>
      </c>
      <c r="C506" s="6">
        <v>232</v>
      </c>
      <c r="D506" s="6">
        <v>188</v>
      </c>
      <c r="E506" s="6">
        <v>10897</v>
      </c>
      <c r="F506" s="6">
        <v>466</v>
      </c>
      <c r="G506" s="2"/>
    </row>
    <row r="507" spans="1:7" x14ac:dyDescent="0.3">
      <c r="A507" s="15">
        <v>45266</v>
      </c>
      <c r="B507" s="16">
        <v>123</v>
      </c>
      <c r="C507" s="6">
        <v>233</v>
      </c>
      <c r="D507" s="6">
        <v>159</v>
      </c>
      <c r="E507" s="6">
        <v>10832</v>
      </c>
      <c r="F507" s="6">
        <v>376</v>
      </c>
      <c r="G507" s="2"/>
    </row>
    <row r="508" spans="1:7" x14ac:dyDescent="0.3">
      <c r="A508" s="15">
        <v>45265</v>
      </c>
      <c r="B508" s="16">
        <v>123</v>
      </c>
      <c r="C508" s="6">
        <v>230</v>
      </c>
      <c r="D508" s="6">
        <v>167</v>
      </c>
      <c r="E508" s="6">
        <v>10761</v>
      </c>
      <c r="F508" s="6">
        <v>261</v>
      </c>
      <c r="G508" s="2"/>
    </row>
    <row r="509" spans="1:7" x14ac:dyDescent="0.3">
      <c r="A509" s="15">
        <v>45264</v>
      </c>
      <c r="B509" s="16">
        <v>174</v>
      </c>
      <c r="C509" s="6">
        <v>208</v>
      </c>
      <c r="D509" s="6">
        <v>256</v>
      </c>
      <c r="E509" s="6">
        <v>10635</v>
      </c>
      <c r="F509" s="6">
        <v>273</v>
      </c>
      <c r="G509" s="2"/>
    </row>
    <row r="510" spans="1:7" x14ac:dyDescent="0.3">
      <c r="A510" s="15">
        <v>45263</v>
      </c>
      <c r="B510" s="16">
        <v>132</v>
      </c>
      <c r="C510" s="6">
        <v>235</v>
      </c>
      <c r="D510" s="6">
        <v>197</v>
      </c>
      <c r="E510" s="6">
        <v>10579</v>
      </c>
      <c r="F510" s="6">
        <v>417</v>
      </c>
      <c r="G510" s="2"/>
    </row>
    <row r="511" spans="1:7" x14ac:dyDescent="0.3">
      <c r="A511" s="15">
        <v>45260</v>
      </c>
      <c r="B511" s="16">
        <v>92</v>
      </c>
      <c r="C511" s="6">
        <v>124</v>
      </c>
      <c r="D511" s="6">
        <v>93</v>
      </c>
      <c r="E511" s="6">
        <v>10536</v>
      </c>
      <c r="F511" s="6">
        <v>320</v>
      </c>
      <c r="G511" s="2"/>
    </row>
    <row r="512" spans="1:7" x14ac:dyDescent="0.3">
      <c r="A512" s="15">
        <v>45259</v>
      </c>
      <c r="B512" s="16">
        <v>68</v>
      </c>
      <c r="C512" s="6">
        <v>107</v>
      </c>
      <c r="D512" s="6">
        <v>102</v>
      </c>
      <c r="E512" s="6">
        <v>10398</v>
      </c>
      <c r="F512" s="6">
        <v>284</v>
      </c>
      <c r="G512" s="2"/>
    </row>
    <row r="513" spans="1:7" x14ac:dyDescent="0.3">
      <c r="A513" s="15">
        <v>45258</v>
      </c>
      <c r="B513" s="16">
        <v>74</v>
      </c>
      <c r="C513" s="6">
        <v>103</v>
      </c>
      <c r="D513" s="6">
        <v>80</v>
      </c>
      <c r="E513" s="6">
        <v>10223</v>
      </c>
      <c r="F513" s="6">
        <v>223</v>
      </c>
      <c r="G513" s="2"/>
    </row>
    <row r="514" spans="1:7" x14ac:dyDescent="0.3">
      <c r="A514" s="15">
        <v>45257</v>
      </c>
      <c r="B514" s="16">
        <v>56</v>
      </c>
      <c r="C514" s="6">
        <v>82</v>
      </c>
      <c r="D514" s="6">
        <v>68</v>
      </c>
      <c r="E514" s="6">
        <v>10123</v>
      </c>
      <c r="F514" s="6">
        <v>214</v>
      </c>
      <c r="G514" s="2"/>
    </row>
    <row r="515" spans="1:7" x14ac:dyDescent="0.3">
      <c r="A515" s="15">
        <v>45256</v>
      </c>
      <c r="B515" s="16">
        <v>90</v>
      </c>
      <c r="C515" s="6">
        <v>196</v>
      </c>
      <c r="D515" s="6">
        <v>205</v>
      </c>
      <c r="E515" s="6">
        <v>9845</v>
      </c>
      <c r="F515" s="6">
        <v>312</v>
      </c>
      <c r="G515" s="2"/>
    </row>
    <row r="516" spans="1:7" x14ac:dyDescent="0.3">
      <c r="A516" s="15">
        <v>45253</v>
      </c>
      <c r="B516" s="16">
        <v>128</v>
      </c>
      <c r="C516" s="6">
        <v>228</v>
      </c>
      <c r="D516" s="6">
        <v>177</v>
      </c>
      <c r="E516" s="6">
        <v>9838</v>
      </c>
      <c r="F516" s="6">
        <v>283</v>
      </c>
      <c r="G516" s="2"/>
    </row>
    <row r="517" spans="1:7" x14ac:dyDescent="0.3">
      <c r="A517" s="15">
        <v>45251</v>
      </c>
      <c r="B517" s="16">
        <v>136</v>
      </c>
      <c r="C517" s="6">
        <v>246</v>
      </c>
      <c r="D517" s="6">
        <v>123</v>
      </c>
      <c r="E517" s="6">
        <v>9804</v>
      </c>
      <c r="F517" s="6">
        <v>250</v>
      </c>
      <c r="G517" s="2"/>
    </row>
    <row r="518" spans="1:7" x14ac:dyDescent="0.3">
      <c r="A518" s="15">
        <v>45250</v>
      </c>
      <c r="B518" s="16">
        <v>105</v>
      </c>
      <c r="C518" s="6">
        <v>185</v>
      </c>
      <c r="D518" s="6">
        <v>158</v>
      </c>
      <c r="E518" s="6">
        <v>9638</v>
      </c>
      <c r="F518" s="6">
        <v>298</v>
      </c>
      <c r="G518" s="2"/>
    </row>
    <row r="519" spans="1:7" x14ac:dyDescent="0.3">
      <c r="A519" s="15">
        <v>45249</v>
      </c>
      <c r="B519" s="16">
        <v>116</v>
      </c>
      <c r="C519" s="6">
        <v>188</v>
      </c>
      <c r="D519" s="6">
        <v>164</v>
      </c>
      <c r="E519" s="6">
        <v>9573</v>
      </c>
      <c r="F519" s="6">
        <v>435</v>
      </c>
      <c r="G519" s="2"/>
    </row>
    <row r="520" spans="1:7" x14ac:dyDescent="0.3">
      <c r="A520" s="15">
        <v>45246</v>
      </c>
      <c r="B520" s="16">
        <v>80</v>
      </c>
      <c r="C520" s="6">
        <v>176</v>
      </c>
      <c r="D520" s="6">
        <v>125</v>
      </c>
      <c r="E520" s="6">
        <v>9762</v>
      </c>
      <c r="F520" s="6">
        <v>374</v>
      </c>
      <c r="G520" s="2"/>
    </row>
    <row r="521" spans="1:7" x14ac:dyDescent="0.3">
      <c r="A521" s="15">
        <v>45245</v>
      </c>
      <c r="B521" s="16">
        <v>150</v>
      </c>
      <c r="C521" s="6">
        <v>157</v>
      </c>
      <c r="D521" s="6">
        <v>201</v>
      </c>
      <c r="E521" s="6">
        <v>9762</v>
      </c>
      <c r="F521" s="6">
        <v>316</v>
      </c>
      <c r="G521" s="2"/>
    </row>
    <row r="522" spans="1:7" x14ac:dyDescent="0.3">
      <c r="A522" s="15">
        <v>45244</v>
      </c>
      <c r="B522" s="16">
        <v>116</v>
      </c>
      <c r="C522" s="6">
        <v>181</v>
      </c>
      <c r="D522" s="6">
        <v>182</v>
      </c>
      <c r="E522" s="6">
        <v>9665</v>
      </c>
      <c r="F522" s="6">
        <v>247</v>
      </c>
      <c r="G522" s="2"/>
    </row>
    <row r="523" spans="1:7" x14ac:dyDescent="0.3">
      <c r="A523" s="15">
        <v>45243</v>
      </c>
      <c r="B523" s="16">
        <v>141</v>
      </c>
      <c r="C523" s="6">
        <v>173</v>
      </c>
      <c r="D523" s="6">
        <v>129</v>
      </c>
      <c r="E523" s="6">
        <v>9510</v>
      </c>
      <c r="F523" s="6">
        <v>287</v>
      </c>
      <c r="G523" s="2"/>
    </row>
    <row r="524" spans="1:7" x14ac:dyDescent="0.3">
      <c r="A524" s="15">
        <v>45242</v>
      </c>
      <c r="B524" s="16">
        <v>96</v>
      </c>
      <c r="C524" s="6">
        <v>160</v>
      </c>
      <c r="D524" s="6">
        <v>233</v>
      </c>
      <c r="E524" s="6">
        <v>9477</v>
      </c>
      <c r="F524" s="6">
        <v>313</v>
      </c>
      <c r="G524" s="2"/>
    </row>
    <row r="525" spans="1:7" x14ac:dyDescent="0.3">
      <c r="A525" s="15">
        <v>45238</v>
      </c>
      <c r="B525" s="16">
        <v>158</v>
      </c>
      <c r="C525" s="6">
        <v>226</v>
      </c>
      <c r="D525" s="6">
        <v>191</v>
      </c>
      <c r="E525" s="6">
        <v>9634</v>
      </c>
      <c r="F525" s="6">
        <v>310</v>
      </c>
      <c r="G525" s="2"/>
    </row>
    <row r="526" spans="1:7" x14ac:dyDescent="0.3">
      <c r="A526" s="15">
        <v>45237</v>
      </c>
      <c r="B526" s="16">
        <v>141</v>
      </c>
      <c r="C526" s="6">
        <v>232</v>
      </c>
      <c r="D526" s="6">
        <v>188</v>
      </c>
      <c r="E526" s="6">
        <v>9483</v>
      </c>
      <c r="F526" s="6">
        <v>231</v>
      </c>
      <c r="G526" s="2"/>
    </row>
    <row r="527" spans="1:7" x14ac:dyDescent="0.3">
      <c r="A527" s="15">
        <v>45236</v>
      </c>
      <c r="B527" s="16">
        <v>123</v>
      </c>
      <c r="C527" s="6">
        <v>233</v>
      </c>
      <c r="D527" s="6">
        <v>159</v>
      </c>
      <c r="E527" s="6">
        <v>9286</v>
      </c>
      <c r="F527" s="6">
        <v>316</v>
      </c>
      <c r="G527" s="2"/>
    </row>
    <row r="528" spans="1:7" x14ac:dyDescent="0.3">
      <c r="A528" s="15">
        <v>45235</v>
      </c>
      <c r="B528" s="16">
        <v>123</v>
      </c>
      <c r="C528" s="6">
        <v>230</v>
      </c>
      <c r="D528" s="6">
        <v>167</v>
      </c>
      <c r="E528" s="6">
        <v>9273</v>
      </c>
      <c r="F528" s="6">
        <v>370</v>
      </c>
      <c r="G528" s="2"/>
    </row>
    <row r="529" spans="1:7" x14ac:dyDescent="0.3">
      <c r="A529" s="15">
        <v>45232</v>
      </c>
      <c r="B529" s="16">
        <v>174</v>
      </c>
      <c r="C529" s="6">
        <v>208</v>
      </c>
      <c r="D529" s="6">
        <v>256</v>
      </c>
      <c r="E529" s="6">
        <v>9442</v>
      </c>
      <c r="F529" s="6">
        <v>330</v>
      </c>
      <c r="G529" s="2"/>
    </row>
    <row r="530" spans="1:7" x14ac:dyDescent="0.3">
      <c r="A530" s="15">
        <v>45231</v>
      </c>
      <c r="B530" s="16">
        <v>132</v>
      </c>
      <c r="C530" s="6">
        <v>235</v>
      </c>
      <c r="D530" s="6">
        <v>197</v>
      </c>
      <c r="E530" s="6">
        <v>9250</v>
      </c>
      <c r="F530" s="6">
        <v>279</v>
      </c>
      <c r="G530" s="2"/>
    </row>
    <row r="531" spans="1:7" x14ac:dyDescent="0.3">
      <c r="A531" s="15">
        <v>45230</v>
      </c>
      <c r="B531" s="16">
        <v>33</v>
      </c>
      <c r="C531" s="6">
        <v>53</v>
      </c>
      <c r="D531" s="6">
        <v>34</v>
      </c>
      <c r="E531" s="6">
        <v>9072</v>
      </c>
      <c r="F531" s="6">
        <v>295</v>
      </c>
      <c r="G531" s="2"/>
    </row>
    <row r="532" spans="1:7" x14ac:dyDescent="0.3">
      <c r="A532" s="15">
        <v>45229</v>
      </c>
      <c r="B532" s="16">
        <v>29</v>
      </c>
      <c r="C532" s="6">
        <v>51</v>
      </c>
      <c r="D532" s="6">
        <v>11</v>
      </c>
      <c r="E532" s="6">
        <v>9026</v>
      </c>
      <c r="F532" s="6">
        <v>278</v>
      </c>
      <c r="G532" s="2"/>
    </row>
    <row r="533" spans="1:7" x14ac:dyDescent="0.3">
      <c r="A533" s="15">
        <v>45228</v>
      </c>
      <c r="B533" s="16">
        <v>91</v>
      </c>
      <c r="C533" s="6">
        <v>75</v>
      </c>
      <c r="D533" s="6">
        <v>97</v>
      </c>
      <c r="E533" s="6">
        <v>8925</v>
      </c>
      <c r="F533" s="6">
        <v>418</v>
      </c>
      <c r="G533" s="2"/>
    </row>
    <row r="534" spans="1:7" x14ac:dyDescent="0.3">
      <c r="A534" s="15">
        <v>45225</v>
      </c>
      <c r="B534" s="16">
        <v>62</v>
      </c>
      <c r="C534" s="6">
        <v>97</v>
      </c>
      <c r="D534" s="6">
        <v>52</v>
      </c>
      <c r="E534" s="6">
        <v>9235</v>
      </c>
      <c r="F534" s="6">
        <v>390</v>
      </c>
      <c r="G534" s="2"/>
    </row>
    <row r="535" spans="1:7" x14ac:dyDescent="0.3">
      <c r="A535" s="15">
        <v>45224</v>
      </c>
      <c r="B535" s="16">
        <v>59</v>
      </c>
      <c r="C535" s="6">
        <v>64</v>
      </c>
      <c r="D535" s="6">
        <v>117</v>
      </c>
      <c r="E535" s="6">
        <v>9351</v>
      </c>
      <c r="F535" s="6">
        <v>293</v>
      </c>
      <c r="G535" s="2"/>
    </row>
    <row r="536" spans="1:7" x14ac:dyDescent="0.3">
      <c r="A536" s="15">
        <v>45223</v>
      </c>
      <c r="B536" s="16">
        <v>84</v>
      </c>
      <c r="C536" s="6">
        <v>118</v>
      </c>
      <c r="D536" s="6">
        <v>136</v>
      </c>
      <c r="E536" s="6">
        <v>9396</v>
      </c>
      <c r="F536" s="6">
        <v>300</v>
      </c>
      <c r="G536" s="2"/>
    </row>
    <row r="537" spans="1:7" x14ac:dyDescent="0.3">
      <c r="A537" s="15">
        <v>45222</v>
      </c>
      <c r="B537" s="16">
        <v>86</v>
      </c>
      <c r="C537" s="6">
        <v>152</v>
      </c>
      <c r="D537" s="6">
        <v>168</v>
      </c>
      <c r="E537" s="6">
        <v>9436</v>
      </c>
      <c r="F537" s="6">
        <v>327</v>
      </c>
      <c r="G537" s="2"/>
    </row>
    <row r="538" spans="1:7" x14ac:dyDescent="0.3">
      <c r="A538" s="15">
        <v>45221</v>
      </c>
      <c r="B538" s="16">
        <v>106</v>
      </c>
      <c r="C538" s="6">
        <v>196</v>
      </c>
      <c r="D538" s="6">
        <v>131</v>
      </c>
      <c r="E538" s="6">
        <v>9506</v>
      </c>
      <c r="F538" s="6">
        <v>454</v>
      </c>
      <c r="G538" s="2"/>
    </row>
    <row r="539" spans="1:7" x14ac:dyDescent="0.3">
      <c r="A539" s="15">
        <v>45218</v>
      </c>
      <c r="B539" s="16">
        <v>113</v>
      </c>
      <c r="C539" s="6">
        <v>162</v>
      </c>
      <c r="D539" s="6">
        <v>107</v>
      </c>
      <c r="E539" s="6">
        <v>10319</v>
      </c>
      <c r="F539" s="6">
        <v>406</v>
      </c>
      <c r="G539" s="2"/>
    </row>
    <row r="540" spans="1:7" x14ac:dyDescent="0.3">
      <c r="A540" s="15">
        <v>45217</v>
      </c>
      <c r="B540" s="16">
        <v>92</v>
      </c>
      <c r="C540" s="6">
        <v>124</v>
      </c>
      <c r="D540" s="6">
        <v>93</v>
      </c>
      <c r="E540" s="6">
        <v>10511</v>
      </c>
      <c r="F540" s="6">
        <v>393</v>
      </c>
      <c r="G540" s="2"/>
    </row>
    <row r="541" spans="1:7" x14ac:dyDescent="0.3">
      <c r="A541" s="15">
        <v>45216</v>
      </c>
      <c r="B541" s="16">
        <v>68</v>
      </c>
      <c r="C541" s="6">
        <v>107</v>
      </c>
      <c r="D541" s="6">
        <v>102</v>
      </c>
      <c r="E541" s="6">
        <v>10630</v>
      </c>
      <c r="F541" s="6">
        <v>315</v>
      </c>
      <c r="G541" s="2"/>
    </row>
    <row r="542" spans="1:7" x14ac:dyDescent="0.3">
      <c r="A542" s="15">
        <v>45215</v>
      </c>
      <c r="B542" s="16">
        <v>74</v>
      </c>
      <c r="C542" s="6">
        <v>103</v>
      </c>
      <c r="D542" s="6">
        <v>80</v>
      </c>
      <c r="E542" s="6">
        <v>10629</v>
      </c>
      <c r="F542" s="6">
        <v>331</v>
      </c>
      <c r="G542" s="2"/>
    </row>
    <row r="543" spans="1:7" x14ac:dyDescent="0.3">
      <c r="A543" s="15">
        <v>45214</v>
      </c>
      <c r="B543" s="16">
        <v>56</v>
      </c>
      <c r="C543" s="6">
        <v>82</v>
      </c>
      <c r="D543" s="6">
        <v>68</v>
      </c>
      <c r="E543" s="6">
        <v>10571</v>
      </c>
      <c r="F543" s="6">
        <v>434</v>
      </c>
      <c r="G543" s="2"/>
    </row>
    <row r="544" spans="1:7" x14ac:dyDescent="0.3">
      <c r="A544" s="15">
        <v>45211</v>
      </c>
      <c r="B544" s="16">
        <v>38</v>
      </c>
      <c r="C544" s="6">
        <v>80</v>
      </c>
      <c r="D544" s="6">
        <v>82</v>
      </c>
      <c r="E544" s="6">
        <v>10992</v>
      </c>
      <c r="F544" s="6">
        <v>398</v>
      </c>
      <c r="G544" s="2"/>
    </row>
    <row r="545" spans="1:7" x14ac:dyDescent="0.3">
      <c r="A545" s="15">
        <v>45210</v>
      </c>
      <c r="B545" s="16">
        <v>65</v>
      </c>
      <c r="C545" s="6">
        <v>83</v>
      </c>
      <c r="D545" s="6">
        <v>65</v>
      </c>
      <c r="E545" s="6">
        <v>10960</v>
      </c>
      <c r="F545" s="6">
        <v>266</v>
      </c>
      <c r="G545" s="2"/>
    </row>
    <row r="546" spans="1:7" x14ac:dyDescent="0.3">
      <c r="A546" s="15">
        <v>45209</v>
      </c>
      <c r="B546" s="16">
        <v>41</v>
      </c>
      <c r="C546" s="6">
        <v>60</v>
      </c>
      <c r="D546" s="6">
        <v>71</v>
      </c>
      <c r="E546" s="6">
        <v>10910</v>
      </c>
      <c r="F546" s="6">
        <v>257</v>
      </c>
      <c r="G546" s="2"/>
    </row>
    <row r="547" spans="1:7" x14ac:dyDescent="0.3">
      <c r="A547" s="15">
        <v>45208</v>
      </c>
      <c r="B547" s="16">
        <v>43</v>
      </c>
      <c r="C547" s="6">
        <v>73</v>
      </c>
      <c r="D547" s="6">
        <v>64</v>
      </c>
      <c r="E547" s="6">
        <v>10815</v>
      </c>
      <c r="F547" s="6">
        <v>282</v>
      </c>
      <c r="G547" s="2"/>
    </row>
    <row r="548" spans="1:7" x14ac:dyDescent="0.3">
      <c r="A548" s="15">
        <v>45204</v>
      </c>
      <c r="B548" s="16">
        <v>35</v>
      </c>
      <c r="C548" s="6">
        <v>70</v>
      </c>
      <c r="D548" s="6">
        <v>53</v>
      </c>
      <c r="E548" s="6">
        <v>11130</v>
      </c>
      <c r="F548" s="6">
        <v>427</v>
      </c>
      <c r="G548" s="2"/>
    </row>
    <row r="549" spans="1:7" x14ac:dyDescent="0.3">
      <c r="A549" s="15">
        <v>45203</v>
      </c>
      <c r="B549" s="16">
        <v>25</v>
      </c>
      <c r="C549" s="6">
        <v>66</v>
      </c>
      <c r="D549" s="6">
        <v>94</v>
      </c>
      <c r="E549" s="6">
        <v>10963</v>
      </c>
      <c r="F549" s="6">
        <v>330</v>
      </c>
      <c r="G549" s="2"/>
    </row>
    <row r="550" spans="1:7" x14ac:dyDescent="0.3">
      <c r="A550" s="15">
        <v>45202</v>
      </c>
      <c r="B550" s="16">
        <v>99</v>
      </c>
      <c r="C550" s="6">
        <v>156</v>
      </c>
      <c r="D550" s="6">
        <v>139</v>
      </c>
      <c r="E550" s="6">
        <v>10818</v>
      </c>
      <c r="F550" s="6">
        <v>287</v>
      </c>
      <c r="G550" s="2"/>
    </row>
    <row r="551" spans="1:7" x14ac:dyDescent="0.3">
      <c r="A551" s="15">
        <v>45201</v>
      </c>
      <c r="B551" s="16">
        <v>107</v>
      </c>
      <c r="C551" s="6">
        <v>170</v>
      </c>
      <c r="D551" s="6">
        <v>133</v>
      </c>
      <c r="E551" s="6">
        <v>10724</v>
      </c>
      <c r="F551" s="6">
        <v>284</v>
      </c>
      <c r="G551" s="2"/>
    </row>
    <row r="552" spans="1:7" x14ac:dyDescent="0.3">
      <c r="A552" s="15">
        <v>45200</v>
      </c>
      <c r="B552" s="16">
        <v>80</v>
      </c>
      <c r="C552" s="6">
        <v>122</v>
      </c>
      <c r="D552" s="6">
        <v>152</v>
      </c>
      <c r="E552" s="6">
        <v>10598</v>
      </c>
      <c r="F552" s="6">
        <v>493</v>
      </c>
      <c r="G552" s="2"/>
    </row>
    <row r="553" spans="1:7" x14ac:dyDescent="0.3">
      <c r="A553" s="18">
        <v>45197</v>
      </c>
      <c r="B553" s="16">
        <v>57</v>
      </c>
      <c r="C553" s="6">
        <v>162</v>
      </c>
      <c r="D553" s="6">
        <v>193</v>
      </c>
      <c r="E553" s="6">
        <v>10984</v>
      </c>
      <c r="F553" s="6">
        <v>447</v>
      </c>
      <c r="G553" s="2"/>
    </row>
    <row r="554" spans="1:7" x14ac:dyDescent="0.3">
      <c r="A554" s="18">
        <v>45196</v>
      </c>
      <c r="B554" s="16">
        <v>161</v>
      </c>
      <c r="C554" s="6">
        <v>304</v>
      </c>
      <c r="D554" s="6">
        <v>211</v>
      </c>
      <c r="E554" s="6">
        <v>11017</v>
      </c>
      <c r="F554" s="6">
        <v>331</v>
      </c>
      <c r="G554" s="2"/>
    </row>
    <row r="555" spans="1:7" x14ac:dyDescent="0.3">
      <c r="A555" s="18">
        <v>45195</v>
      </c>
      <c r="B555" s="16">
        <v>205</v>
      </c>
      <c r="C555" s="6">
        <v>294</v>
      </c>
      <c r="D555" s="6">
        <v>177</v>
      </c>
      <c r="E555" s="6">
        <v>10978</v>
      </c>
      <c r="F555" s="6">
        <v>332</v>
      </c>
      <c r="G555" s="2"/>
    </row>
    <row r="556" spans="1:7" x14ac:dyDescent="0.3">
      <c r="A556" s="18">
        <v>45194</v>
      </c>
      <c r="B556" s="16">
        <v>100</v>
      </c>
      <c r="C556" s="6">
        <v>255</v>
      </c>
      <c r="D556" s="6">
        <v>236</v>
      </c>
      <c r="E556" s="6">
        <v>10842</v>
      </c>
      <c r="F556" s="6">
        <v>284</v>
      </c>
      <c r="G556" s="2"/>
    </row>
    <row r="557" spans="1:7" x14ac:dyDescent="0.3">
      <c r="A557" s="18">
        <f>A556-1</f>
        <v>45193</v>
      </c>
      <c r="B557" s="16">
        <v>269</v>
      </c>
      <c r="C557" s="6">
        <v>412</v>
      </c>
      <c r="D557" s="6">
        <v>204</v>
      </c>
      <c r="E557" s="6">
        <v>10744</v>
      </c>
      <c r="F557" s="6">
        <v>403</v>
      </c>
      <c r="G557" s="2"/>
    </row>
    <row r="558" spans="1:7" x14ac:dyDescent="0.3">
      <c r="A558" s="18">
        <v>45190</v>
      </c>
      <c r="B558" s="16">
        <v>168</v>
      </c>
      <c r="C558" s="6">
        <v>285</v>
      </c>
      <c r="D558" s="6">
        <v>210</v>
      </c>
      <c r="E558" s="6">
        <v>11067</v>
      </c>
      <c r="F558" s="6">
        <v>428</v>
      </c>
      <c r="G558" s="2"/>
    </row>
    <row r="559" spans="1:7" x14ac:dyDescent="0.3">
      <c r="A559" s="18">
        <f>A558-1</f>
        <v>45189</v>
      </c>
      <c r="B559" s="16">
        <v>187</v>
      </c>
      <c r="C559" s="6">
        <v>310</v>
      </c>
      <c r="D559" s="6">
        <v>247</v>
      </c>
      <c r="E559" s="6">
        <v>11064</v>
      </c>
      <c r="F559" s="6">
        <v>364</v>
      </c>
      <c r="G559" s="2"/>
    </row>
    <row r="560" spans="1:7" x14ac:dyDescent="0.3">
      <c r="A560" s="18">
        <f t="shared" ref="A560:A562" si="22">A559-1</f>
        <v>45188</v>
      </c>
      <c r="B560" s="16">
        <v>133</v>
      </c>
      <c r="C560" s="6">
        <v>287</v>
      </c>
      <c r="D560" s="6">
        <v>189</v>
      </c>
      <c r="E560" s="6">
        <v>11095</v>
      </c>
      <c r="F560" s="6">
        <v>260</v>
      </c>
      <c r="G560" s="2"/>
    </row>
    <row r="561" spans="1:11" x14ac:dyDescent="0.3">
      <c r="A561" s="18">
        <f t="shared" si="22"/>
        <v>45187</v>
      </c>
      <c r="B561" s="16">
        <v>180</v>
      </c>
      <c r="C561" s="6">
        <v>337</v>
      </c>
      <c r="D561" s="6">
        <v>219</v>
      </c>
      <c r="E561" s="6">
        <v>10892</v>
      </c>
      <c r="F561" s="6">
        <v>313</v>
      </c>
      <c r="G561" s="2"/>
    </row>
    <row r="562" spans="1:11" x14ac:dyDescent="0.3">
      <c r="A562" s="18">
        <f t="shared" si="22"/>
        <v>45186</v>
      </c>
      <c r="B562" s="16">
        <v>153</v>
      </c>
      <c r="C562" s="6">
        <v>253</v>
      </c>
      <c r="D562" s="6">
        <v>286</v>
      </c>
      <c r="E562" s="6">
        <v>10799</v>
      </c>
      <c r="F562" s="6">
        <v>427</v>
      </c>
      <c r="G562" s="2"/>
      <c r="J562" s="4"/>
      <c r="K562" s="2"/>
    </row>
    <row r="563" spans="1:11" x14ac:dyDescent="0.3">
      <c r="A563" s="18">
        <v>45183</v>
      </c>
      <c r="B563" s="16">
        <v>209</v>
      </c>
      <c r="C563" s="6">
        <v>353</v>
      </c>
      <c r="D563" s="6">
        <v>232</v>
      </c>
      <c r="E563" s="6">
        <v>10837</v>
      </c>
      <c r="F563" s="6">
        <v>414</v>
      </c>
      <c r="G563" s="2"/>
      <c r="J563" s="4"/>
      <c r="K563" s="2"/>
    </row>
    <row r="564" spans="1:11" x14ac:dyDescent="0.3">
      <c r="A564" s="18">
        <f>A563-1</f>
        <v>45182</v>
      </c>
      <c r="B564" s="16">
        <v>167</v>
      </c>
      <c r="C564" s="6">
        <v>326</v>
      </c>
      <c r="D564" s="6">
        <v>213</v>
      </c>
      <c r="E564" s="6">
        <v>10678</v>
      </c>
      <c r="F564" s="6">
        <v>343</v>
      </c>
      <c r="G564" s="2"/>
      <c r="J564" s="4"/>
      <c r="K564" s="2"/>
    </row>
    <row r="565" spans="1:11" x14ac:dyDescent="0.3">
      <c r="A565" s="18">
        <f t="shared" ref="A565:A567" si="23">A564-1</f>
        <v>45181</v>
      </c>
      <c r="B565" s="16">
        <v>224</v>
      </c>
      <c r="C565" s="6">
        <v>315</v>
      </c>
      <c r="D565" s="6">
        <v>152</v>
      </c>
      <c r="E565" s="6">
        <v>10649</v>
      </c>
      <c r="F565" s="6">
        <v>316</v>
      </c>
      <c r="G565" s="2"/>
      <c r="J565" s="4"/>
      <c r="K565" s="2"/>
    </row>
    <row r="566" spans="1:11" x14ac:dyDescent="0.3">
      <c r="A566" s="18">
        <f t="shared" si="23"/>
        <v>45180</v>
      </c>
      <c r="B566" s="16">
        <v>132</v>
      </c>
      <c r="C566" s="6">
        <v>243</v>
      </c>
      <c r="D566" s="6">
        <v>183</v>
      </c>
      <c r="E566" s="6">
        <v>10492</v>
      </c>
      <c r="F566" s="6">
        <v>277</v>
      </c>
      <c r="G566" s="2"/>
      <c r="J566" s="4"/>
      <c r="K566" s="2"/>
    </row>
    <row r="567" spans="1:11" x14ac:dyDescent="0.3">
      <c r="A567" s="18">
        <f t="shared" si="23"/>
        <v>45179</v>
      </c>
      <c r="B567" s="16">
        <v>218</v>
      </c>
      <c r="C567" s="6">
        <v>283</v>
      </c>
      <c r="D567" s="6">
        <v>208</v>
      </c>
      <c r="E567" s="6">
        <v>10282</v>
      </c>
      <c r="F567" s="6">
        <v>382</v>
      </c>
      <c r="G567" s="2"/>
      <c r="J567" s="4"/>
      <c r="K567" s="2"/>
    </row>
    <row r="568" spans="1:11" x14ac:dyDescent="0.3">
      <c r="A568" s="18">
        <v>45176</v>
      </c>
      <c r="B568" s="16">
        <v>118</v>
      </c>
      <c r="C568" s="6">
        <v>245</v>
      </c>
      <c r="D568" s="6">
        <v>160</v>
      </c>
      <c r="E568" s="6">
        <v>10419</v>
      </c>
      <c r="F568" s="6">
        <v>398</v>
      </c>
      <c r="G568" s="2"/>
      <c r="J568" s="4"/>
      <c r="K568" s="2"/>
    </row>
    <row r="569" spans="1:11" x14ac:dyDescent="0.3">
      <c r="A569" s="18">
        <f>A568-1</f>
        <v>45175</v>
      </c>
      <c r="B569" s="16">
        <v>81</v>
      </c>
      <c r="C569" s="6">
        <v>230</v>
      </c>
      <c r="D569" s="6">
        <v>242</v>
      </c>
      <c r="E569" s="6">
        <v>10356</v>
      </c>
      <c r="F569" s="6">
        <v>291</v>
      </c>
      <c r="G569" s="2"/>
      <c r="J569" s="4"/>
      <c r="K569" s="2"/>
    </row>
    <row r="570" spans="1:11" x14ac:dyDescent="0.3">
      <c r="A570" s="18">
        <f t="shared" ref="A570:A571" si="24">A569-1</f>
        <v>45174</v>
      </c>
      <c r="B570" s="16">
        <v>236</v>
      </c>
      <c r="C570" s="6">
        <v>330</v>
      </c>
      <c r="D570" s="6">
        <v>222</v>
      </c>
      <c r="E570" s="6">
        <v>10142</v>
      </c>
      <c r="F570" s="6">
        <v>243</v>
      </c>
      <c r="G570" s="2"/>
      <c r="J570" s="4"/>
      <c r="K570" s="2"/>
    </row>
    <row r="571" spans="1:11" x14ac:dyDescent="0.3">
      <c r="A571" s="18">
        <f t="shared" si="24"/>
        <v>45173</v>
      </c>
      <c r="B571" s="16">
        <v>196</v>
      </c>
      <c r="C571" s="6">
        <v>306</v>
      </c>
      <c r="D571" s="6">
        <v>187</v>
      </c>
      <c r="E571" s="6">
        <v>9988</v>
      </c>
      <c r="F571" s="6">
        <v>293</v>
      </c>
      <c r="G571" s="2"/>
      <c r="J571" s="4"/>
      <c r="K571" s="2"/>
    </row>
    <row r="572" spans="1:11" x14ac:dyDescent="0.3">
      <c r="A572" s="15">
        <v>45169</v>
      </c>
      <c r="B572" s="16">
        <v>113</v>
      </c>
      <c r="C572" s="6">
        <v>280</v>
      </c>
      <c r="D572" s="6">
        <v>237</v>
      </c>
      <c r="E572" s="6">
        <v>10140</v>
      </c>
      <c r="F572" s="6">
        <v>505</v>
      </c>
      <c r="G572" s="2"/>
      <c r="J572" s="4"/>
      <c r="K572" s="2"/>
    </row>
    <row r="573" spans="1:11" x14ac:dyDescent="0.3">
      <c r="A573" s="15">
        <v>45168</v>
      </c>
      <c r="B573" s="16">
        <v>239</v>
      </c>
      <c r="C573" s="6">
        <v>367</v>
      </c>
      <c r="D573" s="6">
        <v>224</v>
      </c>
      <c r="E573" s="6">
        <v>10280</v>
      </c>
      <c r="F573" s="6">
        <v>366</v>
      </c>
      <c r="G573" s="2"/>
      <c r="J573" s="4"/>
      <c r="K573" s="2"/>
    </row>
    <row r="574" spans="1:11" x14ac:dyDescent="0.3">
      <c r="A574" s="15">
        <v>45167</v>
      </c>
      <c r="B574" s="16">
        <v>152</v>
      </c>
      <c r="C574" s="6">
        <v>272</v>
      </c>
      <c r="D574" s="6">
        <v>214</v>
      </c>
      <c r="E574" s="6">
        <v>10180</v>
      </c>
      <c r="F574" s="6">
        <v>286</v>
      </c>
      <c r="G574" s="2"/>
      <c r="J574" s="4"/>
      <c r="K574" s="2"/>
    </row>
    <row r="575" spans="1:11" x14ac:dyDescent="0.3">
      <c r="A575" s="15">
        <v>45166</v>
      </c>
      <c r="B575" s="16">
        <v>170</v>
      </c>
      <c r="C575" s="6">
        <v>297</v>
      </c>
      <c r="D575" s="6">
        <v>196</v>
      </c>
      <c r="E575" s="6">
        <v>10012</v>
      </c>
      <c r="F575" s="6">
        <v>388</v>
      </c>
      <c r="G575" s="2"/>
      <c r="J575" s="4"/>
      <c r="K575" s="2"/>
    </row>
    <row r="576" spans="1:11" x14ac:dyDescent="0.3">
      <c r="A576" s="15">
        <v>45165</v>
      </c>
      <c r="B576" s="16">
        <v>191</v>
      </c>
      <c r="C576" s="6">
        <v>283</v>
      </c>
      <c r="D576" s="6">
        <v>192</v>
      </c>
      <c r="E576" s="6">
        <v>9873</v>
      </c>
      <c r="F576" s="6">
        <v>488</v>
      </c>
      <c r="G576" s="2"/>
      <c r="J576" s="4"/>
      <c r="K576" s="2"/>
    </row>
    <row r="577" spans="1:11" x14ac:dyDescent="0.3">
      <c r="A577" s="15">
        <v>45162</v>
      </c>
      <c r="B577" s="16">
        <v>109</v>
      </c>
      <c r="C577" s="6">
        <v>214</v>
      </c>
      <c r="D577" s="6">
        <v>173</v>
      </c>
      <c r="E577" s="6">
        <v>10026</v>
      </c>
      <c r="F577" s="6">
        <v>443</v>
      </c>
      <c r="G577" s="2"/>
      <c r="J577" s="4"/>
      <c r="K577" s="2"/>
    </row>
    <row r="578" spans="1:11" x14ac:dyDescent="0.3">
      <c r="A578" s="15">
        <v>45161</v>
      </c>
      <c r="B578" s="16">
        <v>155</v>
      </c>
      <c r="C578" s="6">
        <v>212</v>
      </c>
      <c r="D578" s="6">
        <v>181</v>
      </c>
      <c r="E578" s="6">
        <v>10071</v>
      </c>
      <c r="F578" s="6">
        <v>285</v>
      </c>
      <c r="G578" s="2"/>
      <c r="J578" s="4"/>
      <c r="K578" s="2"/>
    </row>
    <row r="579" spans="1:11" x14ac:dyDescent="0.3">
      <c r="A579" s="15">
        <v>45160</v>
      </c>
      <c r="B579" s="16">
        <v>119</v>
      </c>
      <c r="C579" s="6">
        <v>209</v>
      </c>
      <c r="D579" s="6">
        <v>152</v>
      </c>
      <c r="E579" s="6">
        <v>9921</v>
      </c>
      <c r="F579" s="6">
        <v>230</v>
      </c>
      <c r="G579" s="2"/>
      <c r="J579" s="4"/>
      <c r="K579" s="2"/>
    </row>
    <row r="580" spans="1:11" x14ac:dyDescent="0.3">
      <c r="A580" s="15">
        <v>45159</v>
      </c>
      <c r="B580" s="16">
        <v>143</v>
      </c>
      <c r="C580" s="6">
        <v>203</v>
      </c>
      <c r="D580" s="6">
        <v>163</v>
      </c>
      <c r="E580" s="6">
        <v>9668</v>
      </c>
      <c r="F580" s="6">
        <v>281</v>
      </c>
      <c r="G580" s="2"/>
      <c r="J580" s="4"/>
      <c r="K580" s="2"/>
    </row>
    <row r="581" spans="1:11" x14ac:dyDescent="0.3">
      <c r="A581" s="15">
        <v>45158</v>
      </c>
      <c r="B581" s="16">
        <v>105</v>
      </c>
      <c r="C581" s="6">
        <v>210</v>
      </c>
      <c r="D581" s="6">
        <v>149</v>
      </c>
      <c r="E581" s="6">
        <v>9483</v>
      </c>
      <c r="F581" s="6">
        <v>390</v>
      </c>
      <c r="G581" s="2"/>
    </row>
    <row r="582" spans="1:11" x14ac:dyDescent="0.3">
      <c r="A582" s="15">
        <v>45155</v>
      </c>
      <c r="B582" s="16">
        <v>119</v>
      </c>
      <c r="C582" s="6">
        <v>219</v>
      </c>
      <c r="D582" s="6">
        <v>210</v>
      </c>
      <c r="E582" s="6">
        <v>9694</v>
      </c>
      <c r="F582" s="6">
        <v>407</v>
      </c>
      <c r="G582" s="2"/>
    </row>
    <row r="583" spans="1:11" x14ac:dyDescent="0.3">
      <c r="A583" s="15">
        <v>45154</v>
      </c>
      <c r="B583" s="16">
        <v>148</v>
      </c>
      <c r="C583" s="6">
        <v>245</v>
      </c>
      <c r="D583" s="6">
        <v>175</v>
      </c>
      <c r="E583" s="6">
        <v>9634</v>
      </c>
      <c r="F583" s="6">
        <v>288</v>
      </c>
      <c r="G583" s="2"/>
    </row>
    <row r="584" spans="1:11" x14ac:dyDescent="0.3">
      <c r="A584" s="15">
        <v>45148</v>
      </c>
      <c r="B584" s="16">
        <v>142</v>
      </c>
      <c r="C584" s="6">
        <v>235</v>
      </c>
      <c r="D584" s="6">
        <v>139</v>
      </c>
      <c r="E584" s="6">
        <v>8914</v>
      </c>
      <c r="F584" s="6">
        <v>353</v>
      </c>
      <c r="G584" s="2"/>
    </row>
    <row r="585" spans="1:11" x14ac:dyDescent="0.3">
      <c r="A585" s="15">
        <v>45147</v>
      </c>
      <c r="B585" s="16">
        <v>118</v>
      </c>
      <c r="C585" s="6">
        <v>139</v>
      </c>
      <c r="D585" s="6">
        <v>168</v>
      </c>
      <c r="E585" s="6">
        <v>8888</v>
      </c>
      <c r="F585" s="6">
        <v>251</v>
      </c>
      <c r="G585" s="2"/>
    </row>
    <row r="586" spans="1:11" x14ac:dyDescent="0.3">
      <c r="A586" s="15">
        <v>45146</v>
      </c>
      <c r="B586" s="16">
        <v>125</v>
      </c>
      <c r="C586" s="6">
        <v>232</v>
      </c>
      <c r="D586" s="6">
        <v>192</v>
      </c>
      <c r="E586" s="6">
        <v>8725</v>
      </c>
      <c r="F586" s="6">
        <v>207</v>
      </c>
      <c r="G586" s="2"/>
    </row>
    <row r="587" spans="1:11" x14ac:dyDescent="0.3">
      <c r="A587" s="15">
        <v>45145</v>
      </c>
      <c r="B587" s="16">
        <v>156</v>
      </c>
      <c r="C587" s="6">
        <v>256</v>
      </c>
      <c r="D587" s="6">
        <v>176</v>
      </c>
      <c r="E587" s="6">
        <v>8493</v>
      </c>
      <c r="F587" s="6">
        <v>202</v>
      </c>
      <c r="G587" s="2"/>
    </row>
    <row r="588" spans="1:11" x14ac:dyDescent="0.3">
      <c r="A588" s="15">
        <v>45144</v>
      </c>
      <c r="B588" s="16">
        <v>109</v>
      </c>
      <c r="C588" s="6">
        <v>245</v>
      </c>
      <c r="D588" s="6">
        <v>159</v>
      </c>
      <c r="E588" s="6">
        <v>8298</v>
      </c>
      <c r="F588" s="6">
        <v>322</v>
      </c>
      <c r="G588" s="2"/>
    </row>
    <row r="589" spans="1:11" x14ac:dyDescent="0.3">
      <c r="A589" s="15">
        <v>45141</v>
      </c>
      <c r="B589" s="16">
        <v>167</v>
      </c>
      <c r="C589" s="6">
        <v>209</v>
      </c>
      <c r="D589" s="6">
        <v>157</v>
      </c>
      <c r="E589" s="6">
        <v>8294</v>
      </c>
      <c r="F589" s="6">
        <v>339</v>
      </c>
      <c r="G589" s="2"/>
    </row>
    <row r="590" spans="1:11" x14ac:dyDescent="0.3">
      <c r="A590" s="15">
        <v>45140</v>
      </c>
      <c r="B590" s="16">
        <v>84</v>
      </c>
      <c r="C590" s="6">
        <v>171</v>
      </c>
      <c r="D590" s="6">
        <v>157</v>
      </c>
      <c r="E590" s="6">
        <v>8261</v>
      </c>
      <c r="F590" s="6">
        <v>271</v>
      </c>
      <c r="G590" s="2"/>
    </row>
    <row r="591" spans="1:11" x14ac:dyDescent="0.3">
      <c r="A591" s="15">
        <v>45139</v>
      </c>
      <c r="B591" s="16">
        <v>87</v>
      </c>
      <c r="C591" s="6">
        <v>246</v>
      </c>
      <c r="D591" s="6">
        <v>173</v>
      </c>
      <c r="E591" s="6">
        <v>8103</v>
      </c>
      <c r="F591" s="6">
        <v>168</v>
      </c>
      <c r="G591" s="2"/>
    </row>
    <row r="592" spans="1:11" x14ac:dyDescent="0.3">
      <c r="A592" s="15">
        <v>45138</v>
      </c>
      <c r="B592" s="16">
        <v>136</v>
      </c>
      <c r="C592" s="6">
        <v>276</v>
      </c>
      <c r="D592" s="6">
        <v>178</v>
      </c>
      <c r="E592" s="6">
        <v>7800</v>
      </c>
      <c r="F592" s="6">
        <v>220</v>
      </c>
      <c r="G592" s="2"/>
      <c r="H592" s="4"/>
      <c r="I592" s="2"/>
    </row>
    <row r="593" spans="1:9" x14ac:dyDescent="0.3">
      <c r="A593" s="15">
        <f>A592-1</f>
        <v>45137</v>
      </c>
      <c r="B593" s="16">
        <v>166</v>
      </c>
      <c r="C593" s="6">
        <v>277</v>
      </c>
      <c r="D593" s="6">
        <v>229</v>
      </c>
      <c r="E593" s="6">
        <v>7671</v>
      </c>
      <c r="F593" s="6">
        <v>305</v>
      </c>
      <c r="G593" s="2"/>
      <c r="H593" s="4"/>
      <c r="I593" s="2"/>
    </row>
    <row r="594" spans="1:9" x14ac:dyDescent="0.3">
      <c r="A594" s="15">
        <f>A593-3</f>
        <v>45134</v>
      </c>
      <c r="B594" s="16">
        <v>110</v>
      </c>
      <c r="C594" s="6">
        <v>272</v>
      </c>
      <c r="D594" s="6">
        <v>193</v>
      </c>
      <c r="E594" s="6">
        <v>7754</v>
      </c>
      <c r="F594" s="6">
        <v>259</v>
      </c>
      <c r="G594" s="2"/>
      <c r="H594" s="4"/>
      <c r="I594" s="2"/>
    </row>
    <row r="595" spans="1:9" x14ac:dyDescent="0.3">
      <c r="A595" s="15">
        <f>A594-1</f>
        <v>45133</v>
      </c>
      <c r="B595" s="16">
        <v>202</v>
      </c>
      <c r="C595" s="6">
        <v>313</v>
      </c>
      <c r="D595" s="6">
        <v>158</v>
      </c>
      <c r="E595" s="6">
        <v>7647</v>
      </c>
      <c r="F595" s="6">
        <v>215</v>
      </c>
      <c r="G595" s="2"/>
      <c r="H595" s="4"/>
      <c r="I595" s="2"/>
    </row>
    <row r="596" spans="1:9" x14ac:dyDescent="0.3">
      <c r="A596" s="15">
        <f t="shared" ref="A596:A598" si="25">A595-1</f>
        <v>45132</v>
      </c>
      <c r="B596" s="16">
        <v>134</v>
      </c>
      <c r="C596" s="6">
        <v>294</v>
      </c>
      <c r="D596" s="6">
        <v>186</v>
      </c>
      <c r="E596" s="6">
        <v>7510</v>
      </c>
      <c r="F596" s="6">
        <v>136</v>
      </c>
      <c r="G596" s="2"/>
      <c r="H596" s="4"/>
      <c r="I596" s="2"/>
    </row>
    <row r="597" spans="1:9" x14ac:dyDescent="0.3">
      <c r="A597" s="15">
        <f t="shared" si="25"/>
        <v>45131</v>
      </c>
      <c r="B597" s="16">
        <v>180</v>
      </c>
      <c r="C597" s="6">
        <v>280</v>
      </c>
      <c r="D597" s="6">
        <v>146</v>
      </c>
      <c r="E597" s="6">
        <v>7220</v>
      </c>
      <c r="F597" s="6">
        <v>187</v>
      </c>
      <c r="G597" s="2"/>
      <c r="H597" s="4"/>
      <c r="I597" s="2"/>
    </row>
    <row r="598" spans="1:9" x14ac:dyDescent="0.3">
      <c r="A598" s="15">
        <f t="shared" si="25"/>
        <v>45130</v>
      </c>
      <c r="B598" s="16">
        <v>108</v>
      </c>
      <c r="C598" s="6">
        <v>220</v>
      </c>
      <c r="D598" s="6">
        <v>213</v>
      </c>
      <c r="E598" s="6">
        <v>7052</v>
      </c>
      <c r="F598" s="6">
        <v>276</v>
      </c>
      <c r="G598" s="2"/>
      <c r="H598" s="4"/>
      <c r="I598" s="2"/>
    </row>
    <row r="599" spans="1:9" x14ac:dyDescent="0.3">
      <c r="A599" s="15">
        <f>A598-3</f>
        <v>45127</v>
      </c>
      <c r="B599" s="16">
        <v>147</v>
      </c>
      <c r="C599" s="6">
        <v>276</v>
      </c>
      <c r="D599" s="6">
        <v>214</v>
      </c>
      <c r="E599" s="6">
        <v>7116</v>
      </c>
      <c r="F599" s="6">
        <v>281</v>
      </c>
      <c r="G599" s="2"/>
      <c r="H599" s="4"/>
      <c r="I599" s="2"/>
    </row>
    <row r="600" spans="1:9" x14ac:dyDescent="0.3">
      <c r="A600" s="15">
        <f>A599-1</f>
        <v>45126</v>
      </c>
      <c r="B600" s="16">
        <v>104</v>
      </c>
      <c r="C600" s="6">
        <v>230</v>
      </c>
      <c r="D600" s="6">
        <v>206</v>
      </c>
      <c r="E600" s="6">
        <v>7001</v>
      </c>
      <c r="F600" s="6">
        <v>226</v>
      </c>
      <c r="G600" s="2"/>
      <c r="H600" s="4"/>
      <c r="I600" s="2"/>
    </row>
    <row r="601" spans="1:9" x14ac:dyDescent="0.3">
      <c r="A601" s="15">
        <f t="shared" ref="A601:A603" si="26">A600-1</f>
        <v>45125</v>
      </c>
      <c r="B601" s="16">
        <v>174</v>
      </c>
      <c r="C601" s="6">
        <v>285</v>
      </c>
      <c r="D601" s="6">
        <v>150</v>
      </c>
      <c r="E601" s="6">
        <v>6874</v>
      </c>
      <c r="F601" s="6">
        <v>181</v>
      </c>
      <c r="G601" s="2"/>
      <c r="H601" s="4"/>
      <c r="I601" s="2"/>
    </row>
    <row r="602" spans="1:9" x14ac:dyDescent="0.3">
      <c r="A602" s="15">
        <f t="shared" si="26"/>
        <v>45124</v>
      </c>
      <c r="B602" s="16">
        <v>113</v>
      </c>
      <c r="C602" s="6">
        <v>208</v>
      </c>
      <c r="D602" s="6">
        <v>159</v>
      </c>
      <c r="E602" s="6">
        <v>6632</v>
      </c>
      <c r="F602" s="6">
        <v>160</v>
      </c>
      <c r="G602" s="2"/>
      <c r="H602" s="4"/>
      <c r="I602" s="2"/>
    </row>
    <row r="603" spans="1:9" x14ac:dyDescent="0.3">
      <c r="A603" s="15">
        <f t="shared" si="26"/>
        <v>45123</v>
      </c>
      <c r="B603" s="16">
        <v>88</v>
      </c>
      <c r="C603" s="6">
        <v>214</v>
      </c>
      <c r="D603" s="6">
        <v>160</v>
      </c>
      <c r="E603" s="6">
        <v>6468</v>
      </c>
      <c r="F603" s="6">
        <v>218</v>
      </c>
      <c r="G603" s="2"/>
      <c r="H603" s="4"/>
      <c r="I603" s="2"/>
    </row>
    <row r="604" spans="1:9" x14ac:dyDescent="0.3">
      <c r="A604" s="15">
        <f>A603-3</f>
        <v>45120</v>
      </c>
      <c r="B604" s="16">
        <v>130</v>
      </c>
      <c r="C604" s="6">
        <v>227</v>
      </c>
      <c r="D604" s="6">
        <v>192</v>
      </c>
      <c r="E604" s="6">
        <v>6604</v>
      </c>
      <c r="F604" s="6">
        <v>226</v>
      </c>
      <c r="G604" s="2"/>
      <c r="H604" s="4"/>
      <c r="I604" s="2"/>
    </row>
    <row r="605" spans="1:9" x14ac:dyDescent="0.3">
      <c r="A605" s="15">
        <f>A604-1</f>
        <v>45119</v>
      </c>
      <c r="B605" s="16">
        <v>84</v>
      </c>
      <c r="C605" s="6">
        <v>158</v>
      </c>
      <c r="D605" s="6">
        <v>193</v>
      </c>
      <c r="E605" s="6">
        <v>6521</v>
      </c>
      <c r="F605" s="6">
        <v>210</v>
      </c>
      <c r="G605" s="2"/>
      <c r="H605" s="4"/>
      <c r="I605" s="2"/>
    </row>
    <row r="606" spans="1:9" x14ac:dyDescent="0.3">
      <c r="A606" s="15">
        <f t="shared" ref="A606:A607" si="27">A605-1</f>
        <v>45118</v>
      </c>
      <c r="B606" s="16">
        <v>115</v>
      </c>
      <c r="C606" s="6">
        <v>216</v>
      </c>
      <c r="D606" s="6">
        <v>169</v>
      </c>
      <c r="E606" s="6">
        <v>6498</v>
      </c>
      <c r="F606" s="6">
        <v>143</v>
      </c>
      <c r="G606" s="2"/>
      <c r="H606" s="4"/>
      <c r="I606" s="2"/>
    </row>
    <row r="607" spans="1:9" x14ac:dyDescent="0.3">
      <c r="A607" s="15">
        <f t="shared" si="27"/>
        <v>45117</v>
      </c>
      <c r="B607" s="16">
        <v>167</v>
      </c>
      <c r="C607" s="6">
        <v>239</v>
      </c>
      <c r="D607" s="6">
        <v>166</v>
      </c>
      <c r="E607" s="6">
        <v>6346</v>
      </c>
      <c r="F607" s="6">
        <v>163</v>
      </c>
      <c r="G607" s="2"/>
      <c r="H607" s="4"/>
      <c r="I607" s="2"/>
    </row>
    <row r="608" spans="1:9" x14ac:dyDescent="0.3">
      <c r="A608" s="15">
        <f>A607-1</f>
        <v>45116</v>
      </c>
      <c r="B608" s="16">
        <v>99</v>
      </c>
      <c r="C608" s="6">
        <v>190</v>
      </c>
      <c r="D608" s="6">
        <v>176</v>
      </c>
      <c r="E608" s="6">
        <v>6214</v>
      </c>
      <c r="F608" s="6">
        <v>196</v>
      </c>
      <c r="G608" s="2"/>
      <c r="H608" s="4"/>
      <c r="I608" s="2"/>
    </row>
    <row r="609" spans="1:9" x14ac:dyDescent="0.3">
      <c r="A609" s="15">
        <f>A608-3</f>
        <v>45113</v>
      </c>
      <c r="B609" s="16">
        <v>101</v>
      </c>
      <c r="C609" s="6">
        <v>162</v>
      </c>
      <c r="D609" s="6">
        <v>178</v>
      </c>
      <c r="E609" s="6">
        <v>6239</v>
      </c>
      <c r="F609" s="6">
        <v>205</v>
      </c>
      <c r="G609" s="2"/>
      <c r="H609" s="4"/>
      <c r="I609" s="2"/>
    </row>
    <row r="610" spans="1:9" x14ac:dyDescent="0.3">
      <c r="A610" s="15">
        <f>A609-1</f>
        <v>45112</v>
      </c>
      <c r="B610" s="16">
        <v>107</v>
      </c>
      <c r="C610" s="6">
        <v>215</v>
      </c>
      <c r="D610" s="6">
        <v>230</v>
      </c>
      <c r="E610" s="6">
        <v>6193</v>
      </c>
      <c r="F610" s="6">
        <v>167</v>
      </c>
      <c r="G610" s="2"/>
      <c r="H610" s="4"/>
      <c r="I610" s="2"/>
    </row>
    <row r="611" spans="1:9" x14ac:dyDescent="0.3">
      <c r="A611" s="15">
        <f t="shared" ref="A611" si="28">A610-1</f>
        <v>45111</v>
      </c>
      <c r="B611" s="16">
        <v>184</v>
      </c>
      <c r="C611" s="6">
        <v>314</v>
      </c>
      <c r="D611" s="6">
        <v>217</v>
      </c>
      <c r="E611" s="6">
        <v>6127</v>
      </c>
      <c r="F611" s="6">
        <v>124</v>
      </c>
      <c r="G611" s="2"/>
      <c r="H611" s="4"/>
      <c r="I611" s="2"/>
    </row>
    <row r="612" spans="1:9" x14ac:dyDescent="0.3">
      <c r="A612" s="15">
        <f>A611-2</f>
        <v>45109</v>
      </c>
      <c r="B612" s="16">
        <v>209</v>
      </c>
      <c r="C612" s="6">
        <v>285</v>
      </c>
      <c r="D612" s="6">
        <v>184</v>
      </c>
      <c r="E612" s="6">
        <v>5903</v>
      </c>
      <c r="F612" s="6">
        <v>309</v>
      </c>
      <c r="G612" s="2"/>
      <c r="H612" s="4"/>
      <c r="I612" s="2"/>
    </row>
    <row r="613" spans="1:9" x14ac:dyDescent="0.3">
      <c r="A613" s="15">
        <f>A612-3</f>
        <v>45106</v>
      </c>
      <c r="B613" s="16">
        <v>81</v>
      </c>
      <c r="C613" s="6">
        <v>213</v>
      </c>
      <c r="D613" s="6">
        <v>153</v>
      </c>
      <c r="E613" s="6">
        <v>6058</v>
      </c>
      <c r="F613" s="6">
        <v>213</v>
      </c>
      <c r="G613" s="2"/>
      <c r="H613" s="4"/>
      <c r="I613" s="2"/>
    </row>
    <row r="614" spans="1:9" x14ac:dyDescent="0.3">
      <c r="A614" s="15">
        <f>A613-1</f>
        <v>45105</v>
      </c>
      <c r="B614" s="16">
        <v>91</v>
      </c>
      <c r="C614" s="6">
        <v>199</v>
      </c>
      <c r="D614" s="6">
        <v>172</v>
      </c>
      <c r="E614" s="6">
        <v>5999</v>
      </c>
      <c r="F614" s="6">
        <v>174</v>
      </c>
      <c r="G614" s="2"/>
      <c r="H614" s="4"/>
      <c r="I614" s="2"/>
    </row>
    <row r="615" spans="1:9" x14ac:dyDescent="0.3">
      <c r="A615" s="15">
        <f t="shared" ref="A615:A617" si="29">A614-1</f>
        <v>45104</v>
      </c>
      <c r="B615" s="16">
        <v>154</v>
      </c>
      <c r="C615" s="6">
        <v>225</v>
      </c>
      <c r="D615" s="6">
        <v>220</v>
      </c>
      <c r="E615" s="6">
        <v>5917</v>
      </c>
      <c r="F615" s="6">
        <v>155</v>
      </c>
      <c r="G615" s="2"/>
      <c r="H615" s="4"/>
      <c r="I615" s="2"/>
    </row>
    <row r="616" spans="1:9" x14ac:dyDescent="0.3">
      <c r="A616" s="15">
        <f t="shared" si="29"/>
        <v>45103</v>
      </c>
      <c r="B616" s="16">
        <v>186</v>
      </c>
      <c r="C616" s="6">
        <v>259</v>
      </c>
      <c r="D616" s="6">
        <v>172</v>
      </c>
      <c r="E616" s="6">
        <v>5819</v>
      </c>
      <c r="F616" s="6">
        <v>174</v>
      </c>
      <c r="G616" s="2"/>
      <c r="H616" s="4"/>
      <c r="I616" s="2"/>
    </row>
    <row r="617" spans="1:9" x14ac:dyDescent="0.3">
      <c r="A617" s="15">
        <f t="shared" si="29"/>
        <v>45102</v>
      </c>
      <c r="B617" s="16">
        <v>92</v>
      </c>
      <c r="C617" s="6">
        <v>203</v>
      </c>
      <c r="D617" s="6">
        <v>173</v>
      </c>
      <c r="E617" s="6">
        <v>5766</v>
      </c>
      <c r="F617" s="6">
        <v>263</v>
      </c>
      <c r="G617" s="2"/>
      <c r="H617" s="4"/>
      <c r="I617" s="2"/>
    </row>
    <row r="618" spans="1:9" x14ac:dyDescent="0.3">
      <c r="A618" s="15">
        <f>A617-3</f>
        <v>45099</v>
      </c>
      <c r="B618" s="16">
        <v>124</v>
      </c>
      <c r="C618" s="6">
        <v>234</v>
      </c>
      <c r="D618" s="6">
        <v>161</v>
      </c>
      <c r="E618" s="6">
        <v>5956</v>
      </c>
      <c r="F618" s="6">
        <v>207</v>
      </c>
      <c r="G618" s="2"/>
      <c r="H618" s="4"/>
      <c r="I618" s="2"/>
    </row>
    <row r="619" spans="1:9" x14ac:dyDescent="0.3">
      <c r="A619" s="15">
        <f>A618-1</f>
        <v>45098</v>
      </c>
      <c r="B619" s="16">
        <v>93</v>
      </c>
      <c r="C619" s="6">
        <v>196</v>
      </c>
      <c r="D619" s="6">
        <v>169</v>
      </c>
      <c r="E619" s="6">
        <v>5922</v>
      </c>
      <c r="F619" s="6">
        <v>149</v>
      </c>
      <c r="G619" s="2"/>
      <c r="H619" s="4"/>
      <c r="I619" s="2"/>
    </row>
    <row r="620" spans="1:9" x14ac:dyDescent="0.3">
      <c r="A620" s="15">
        <f t="shared" ref="A620:A621" si="30">A619-1</f>
        <v>45097</v>
      </c>
      <c r="B620" s="16">
        <v>33</v>
      </c>
      <c r="C620" s="6">
        <v>53</v>
      </c>
      <c r="D620" s="6">
        <v>34</v>
      </c>
      <c r="E620" s="6">
        <v>5904</v>
      </c>
      <c r="F620" s="6">
        <v>134</v>
      </c>
      <c r="G620" s="2"/>
      <c r="H620" s="4"/>
      <c r="I620" s="2"/>
    </row>
    <row r="621" spans="1:9" x14ac:dyDescent="0.3">
      <c r="A621" s="15">
        <f t="shared" si="30"/>
        <v>45096</v>
      </c>
      <c r="B621" s="16">
        <v>29</v>
      </c>
      <c r="C621" s="6">
        <v>51</v>
      </c>
      <c r="D621" s="6">
        <v>11</v>
      </c>
      <c r="E621" s="6">
        <v>5679</v>
      </c>
      <c r="F621" s="6">
        <v>142</v>
      </c>
      <c r="G621" s="2"/>
      <c r="H621" s="4"/>
      <c r="I621" s="2"/>
    </row>
    <row r="622" spans="1:9" x14ac:dyDescent="0.3">
      <c r="A622" s="15">
        <f>A621-4</f>
        <v>45092</v>
      </c>
      <c r="B622" s="16">
        <v>91</v>
      </c>
      <c r="C622" s="6">
        <v>75</v>
      </c>
      <c r="D622" s="6">
        <v>97</v>
      </c>
      <c r="E622" s="6">
        <v>6038</v>
      </c>
      <c r="F622" s="6">
        <v>272</v>
      </c>
      <c r="G622" s="2"/>
      <c r="H622" s="4"/>
      <c r="I622" s="2"/>
    </row>
    <row r="623" spans="1:9" x14ac:dyDescent="0.3">
      <c r="A623" s="15">
        <f>A622-1</f>
        <v>45091</v>
      </c>
      <c r="B623" s="16">
        <v>62</v>
      </c>
      <c r="C623" s="6">
        <v>97</v>
      </c>
      <c r="D623" s="6">
        <v>52</v>
      </c>
      <c r="E623" s="6">
        <v>6065</v>
      </c>
      <c r="F623" s="6">
        <v>167</v>
      </c>
      <c r="G623" s="2"/>
      <c r="H623" s="4"/>
      <c r="I623" s="2"/>
    </row>
    <row r="624" spans="1:9" x14ac:dyDescent="0.3">
      <c r="A624" s="15">
        <f t="shared" ref="A624:A626" si="31">A623-1</f>
        <v>45090</v>
      </c>
      <c r="B624" s="16">
        <v>59</v>
      </c>
      <c r="C624" s="6">
        <v>64</v>
      </c>
      <c r="D624" s="6">
        <v>117</v>
      </c>
      <c r="E624" s="6">
        <v>6061</v>
      </c>
      <c r="F624" s="6">
        <v>146</v>
      </c>
      <c r="G624" s="2"/>
      <c r="H624" s="4"/>
      <c r="I624" s="2"/>
    </row>
    <row r="625" spans="1:9" x14ac:dyDescent="0.3">
      <c r="A625" s="15">
        <f t="shared" si="31"/>
        <v>45089</v>
      </c>
      <c r="B625" s="16">
        <v>84</v>
      </c>
      <c r="C625" s="6">
        <v>118</v>
      </c>
      <c r="D625" s="6">
        <v>136</v>
      </c>
      <c r="E625" s="6">
        <v>6021</v>
      </c>
      <c r="F625" s="6">
        <v>177</v>
      </c>
      <c r="G625" s="2"/>
      <c r="H625" s="4"/>
      <c r="I625" s="2"/>
    </row>
    <row r="626" spans="1:9" x14ac:dyDescent="0.3">
      <c r="A626" s="15">
        <f t="shared" si="31"/>
        <v>45088</v>
      </c>
      <c r="B626" s="16">
        <v>86</v>
      </c>
      <c r="C626" s="6">
        <v>152</v>
      </c>
      <c r="D626" s="6">
        <v>168</v>
      </c>
      <c r="E626" s="6">
        <v>6007</v>
      </c>
      <c r="F626" s="6">
        <v>238</v>
      </c>
      <c r="G626" s="2"/>
      <c r="H626" s="4"/>
      <c r="I626" s="2"/>
    </row>
    <row r="627" spans="1:9" x14ac:dyDescent="0.3">
      <c r="A627" s="15">
        <f>A626-3</f>
        <v>45085</v>
      </c>
      <c r="B627" s="16">
        <v>106</v>
      </c>
      <c r="C627" s="6">
        <v>196</v>
      </c>
      <c r="D627" s="6">
        <v>131</v>
      </c>
      <c r="E627" s="6">
        <v>6446</v>
      </c>
      <c r="F627" s="6">
        <v>255</v>
      </c>
      <c r="G627" s="2"/>
      <c r="H627" s="4"/>
      <c r="I627" s="2"/>
    </row>
    <row r="628" spans="1:9" x14ac:dyDescent="0.3">
      <c r="A628" s="15">
        <f>A627-1</f>
        <v>45084</v>
      </c>
      <c r="B628" s="16">
        <v>113</v>
      </c>
      <c r="C628" s="6">
        <v>162</v>
      </c>
      <c r="D628" s="6">
        <v>107</v>
      </c>
      <c r="E628" s="6">
        <v>6483</v>
      </c>
      <c r="F628" s="6">
        <v>208</v>
      </c>
      <c r="G628" s="2"/>
      <c r="H628" s="4"/>
      <c r="I628" s="2"/>
    </row>
    <row r="629" spans="1:9" x14ac:dyDescent="0.3">
      <c r="A629" s="15">
        <f t="shared" ref="A629:A631" si="32">A628-1</f>
        <v>45083</v>
      </c>
      <c r="B629" s="16">
        <v>92</v>
      </c>
      <c r="C629" s="6">
        <v>124</v>
      </c>
      <c r="D629" s="6">
        <v>93</v>
      </c>
      <c r="E629" s="6">
        <v>6508</v>
      </c>
      <c r="F629" s="6">
        <v>187</v>
      </c>
      <c r="G629" s="2"/>
      <c r="H629" s="4"/>
      <c r="I629" s="2"/>
    </row>
    <row r="630" spans="1:9" x14ac:dyDescent="0.3">
      <c r="A630" s="15">
        <f t="shared" si="32"/>
        <v>45082</v>
      </c>
      <c r="B630" s="16">
        <v>68</v>
      </c>
      <c r="C630" s="6">
        <v>107</v>
      </c>
      <c r="D630" s="6">
        <v>102</v>
      </c>
      <c r="E630" s="6">
        <v>6523</v>
      </c>
      <c r="F630" s="6">
        <v>189</v>
      </c>
      <c r="G630" s="2"/>
      <c r="H630" s="4"/>
      <c r="I630" s="2"/>
    </row>
    <row r="631" spans="1:9" x14ac:dyDescent="0.3">
      <c r="A631" s="15">
        <f t="shared" si="32"/>
        <v>45081</v>
      </c>
      <c r="B631" s="16">
        <v>74</v>
      </c>
      <c r="C631" s="6">
        <v>103</v>
      </c>
      <c r="D631" s="6">
        <v>80</v>
      </c>
      <c r="E631" s="6">
        <v>6555</v>
      </c>
      <c r="F631" s="6">
        <v>292</v>
      </c>
      <c r="G631" s="2"/>
      <c r="H631" s="4"/>
      <c r="I631" s="2"/>
    </row>
    <row r="632" spans="1:9" x14ac:dyDescent="0.3">
      <c r="A632" s="15">
        <f>A631-3</f>
        <v>45078</v>
      </c>
      <c r="B632" s="16">
        <v>56</v>
      </c>
      <c r="C632" s="6">
        <v>82</v>
      </c>
      <c r="D632" s="6">
        <v>68</v>
      </c>
      <c r="E632" s="6">
        <v>7002</v>
      </c>
      <c r="F632" s="6">
        <v>287</v>
      </c>
      <c r="G632" s="2"/>
      <c r="H632" s="4"/>
      <c r="I632" s="2"/>
    </row>
    <row r="633" spans="1:9" x14ac:dyDescent="0.3">
      <c r="A633" s="15">
        <v>45077</v>
      </c>
      <c r="B633" s="16">
        <v>38</v>
      </c>
      <c r="C633" s="6">
        <v>80</v>
      </c>
      <c r="D633" s="6">
        <v>82</v>
      </c>
      <c r="E633" s="6">
        <v>7053</v>
      </c>
      <c r="F633" s="6">
        <v>210</v>
      </c>
      <c r="G633" s="2"/>
    </row>
    <row r="634" spans="1:9" x14ac:dyDescent="0.3">
      <c r="A634" s="15">
        <v>45076</v>
      </c>
      <c r="B634" s="16">
        <v>65</v>
      </c>
      <c r="C634" s="6">
        <v>83</v>
      </c>
      <c r="D634" s="6">
        <v>65</v>
      </c>
      <c r="E634" s="6">
        <v>7046</v>
      </c>
      <c r="F634" s="6">
        <v>168</v>
      </c>
      <c r="G634" s="2"/>
    </row>
    <row r="635" spans="1:9" x14ac:dyDescent="0.3">
      <c r="A635" s="15">
        <v>45075</v>
      </c>
      <c r="B635" s="16">
        <v>41</v>
      </c>
      <c r="C635" s="6">
        <v>60</v>
      </c>
      <c r="D635" s="6">
        <v>71</v>
      </c>
      <c r="E635" s="6">
        <v>6996</v>
      </c>
      <c r="F635" s="6">
        <v>207</v>
      </c>
      <c r="G635" s="2"/>
    </row>
    <row r="636" spans="1:9" x14ac:dyDescent="0.3">
      <c r="A636" s="15">
        <v>45071</v>
      </c>
      <c r="B636" s="16">
        <v>43</v>
      </c>
      <c r="C636" s="6">
        <v>73</v>
      </c>
      <c r="D636" s="6">
        <v>64</v>
      </c>
      <c r="E636" s="6">
        <v>7546</v>
      </c>
      <c r="F636" s="6">
        <v>408</v>
      </c>
      <c r="G636" s="2"/>
    </row>
    <row r="637" spans="1:9" x14ac:dyDescent="0.3">
      <c r="A637" s="15">
        <v>45070</v>
      </c>
      <c r="B637" s="16">
        <v>35</v>
      </c>
      <c r="C637" s="6">
        <v>70</v>
      </c>
      <c r="D637" s="6">
        <v>53</v>
      </c>
      <c r="E637" s="6">
        <v>7709</v>
      </c>
      <c r="F637" s="6">
        <v>276</v>
      </c>
      <c r="G637" s="2"/>
    </row>
    <row r="638" spans="1:9" x14ac:dyDescent="0.3">
      <c r="A638" s="15">
        <v>45069</v>
      </c>
      <c r="B638" s="16">
        <v>25</v>
      </c>
      <c r="C638" s="6">
        <v>66</v>
      </c>
      <c r="D638" s="6">
        <v>94</v>
      </c>
      <c r="E638" s="6">
        <v>7788</v>
      </c>
      <c r="F638" s="6">
        <v>246</v>
      </c>
      <c r="G638" s="2"/>
    </row>
    <row r="639" spans="1:9" x14ac:dyDescent="0.3">
      <c r="A639" s="15">
        <v>45068</v>
      </c>
      <c r="B639" s="16">
        <v>99</v>
      </c>
      <c r="C639" s="6">
        <v>156</v>
      </c>
      <c r="D639" s="6">
        <v>139</v>
      </c>
      <c r="E639" s="6">
        <v>7848</v>
      </c>
      <c r="F639" s="6">
        <v>240</v>
      </c>
      <c r="G639" s="2"/>
    </row>
    <row r="640" spans="1:9" x14ac:dyDescent="0.3">
      <c r="A640" s="15">
        <v>45067</v>
      </c>
      <c r="B640" s="16">
        <v>107</v>
      </c>
      <c r="C640" s="6">
        <v>170</v>
      </c>
      <c r="D640" s="6">
        <v>133</v>
      </c>
      <c r="E640" s="6">
        <v>7826</v>
      </c>
      <c r="F640" s="6">
        <v>343</v>
      </c>
      <c r="G640" s="2"/>
    </row>
    <row r="641" spans="1:7" x14ac:dyDescent="0.3">
      <c r="A641" s="15">
        <v>45064</v>
      </c>
      <c r="B641" s="16">
        <v>80</v>
      </c>
      <c r="C641" s="6">
        <v>122</v>
      </c>
      <c r="D641" s="6">
        <v>152</v>
      </c>
      <c r="E641" s="6">
        <v>8474</v>
      </c>
      <c r="F641" s="6">
        <v>351</v>
      </c>
      <c r="G641" s="2"/>
    </row>
    <row r="642" spans="1:7" x14ac:dyDescent="0.3">
      <c r="A642" s="15">
        <v>45063</v>
      </c>
      <c r="B642" s="16">
        <v>57</v>
      </c>
      <c r="C642" s="6">
        <v>162</v>
      </c>
      <c r="D642" s="6">
        <v>193</v>
      </c>
      <c r="E642" s="6">
        <v>8569</v>
      </c>
      <c r="F642" s="6">
        <v>307</v>
      </c>
      <c r="G642" s="2"/>
    </row>
    <row r="643" spans="1:7" x14ac:dyDescent="0.3">
      <c r="A643" s="15">
        <v>45062</v>
      </c>
      <c r="B643" s="16">
        <v>161</v>
      </c>
      <c r="C643" s="6">
        <v>304</v>
      </c>
      <c r="D643" s="6">
        <v>211</v>
      </c>
      <c r="E643" s="6">
        <v>8572</v>
      </c>
      <c r="F643" s="6">
        <v>272</v>
      </c>
      <c r="G643" s="2"/>
    </row>
    <row r="644" spans="1:7" x14ac:dyDescent="0.3">
      <c r="A644" s="15">
        <v>45061</v>
      </c>
      <c r="B644" s="16">
        <v>205</v>
      </c>
      <c r="C644" s="6">
        <v>294</v>
      </c>
      <c r="D644" s="6">
        <v>177</v>
      </c>
      <c r="E644" s="6">
        <v>8571</v>
      </c>
      <c r="F644" s="6">
        <v>277</v>
      </c>
      <c r="G644" s="2"/>
    </row>
    <row r="645" spans="1:7" x14ac:dyDescent="0.3">
      <c r="A645" s="15">
        <v>45060</v>
      </c>
      <c r="B645" s="16">
        <v>100</v>
      </c>
      <c r="C645" s="6">
        <v>255</v>
      </c>
      <c r="D645" s="6">
        <v>236</v>
      </c>
      <c r="E645" s="6">
        <v>8445</v>
      </c>
      <c r="F645" s="6">
        <v>288</v>
      </c>
      <c r="G645" s="2"/>
    </row>
    <row r="646" spans="1:7" x14ac:dyDescent="0.3">
      <c r="A646" s="15">
        <v>45057</v>
      </c>
      <c r="B646" s="16">
        <v>269</v>
      </c>
      <c r="C646" s="6">
        <v>412</v>
      </c>
      <c r="D646" s="6">
        <v>204</v>
      </c>
      <c r="E646" s="6">
        <v>8672</v>
      </c>
      <c r="F646" s="6">
        <v>392</v>
      </c>
      <c r="G646" s="2"/>
    </row>
    <row r="647" spans="1:7" x14ac:dyDescent="0.3">
      <c r="A647" s="15">
        <v>45056</v>
      </c>
      <c r="B647" s="16">
        <v>168</v>
      </c>
      <c r="C647" s="6">
        <v>285</v>
      </c>
      <c r="D647" s="6">
        <v>210</v>
      </c>
      <c r="E647" s="6">
        <v>8681</v>
      </c>
      <c r="F647" s="6">
        <v>304</v>
      </c>
      <c r="G647" s="2"/>
    </row>
    <row r="648" spans="1:7" x14ac:dyDescent="0.3">
      <c r="A648" s="15">
        <v>45055</v>
      </c>
      <c r="B648" s="16">
        <v>187</v>
      </c>
      <c r="C648" s="6">
        <v>310</v>
      </c>
      <c r="D648" s="6">
        <v>247</v>
      </c>
      <c r="E648" s="6">
        <v>8606</v>
      </c>
      <c r="F648" s="6">
        <v>250</v>
      </c>
      <c r="G648" s="2"/>
    </row>
    <row r="649" spans="1:7" x14ac:dyDescent="0.3">
      <c r="A649" s="15">
        <v>45054</v>
      </c>
      <c r="B649" s="16">
        <v>133</v>
      </c>
      <c r="C649" s="6">
        <v>287</v>
      </c>
      <c r="D649" s="6">
        <v>189</v>
      </c>
      <c r="E649" s="6">
        <v>8590</v>
      </c>
      <c r="F649" s="6">
        <v>261</v>
      </c>
      <c r="G649" s="2"/>
    </row>
    <row r="650" spans="1:7" x14ac:dyDescent="0.3">
      <c r="A650" s="15">
        <v>45053</v>
      </c>
      <c r="B650" s="16">
        <v>180</v>
      </c>
      <c r="C650" s="6">
        <v>337</v>
      </c>
      <c r="D650" s="6">
        <v>219</v>
      </c>
      <c r="E650" s="6">
        <v>8485</v>
      </c>
      <c r="F650" s="6">
        <v>375</v>
      </c>
      <c r="G650" s="2"/>
    </row>
    <row r="651" spans="1:7" x14ac:dyDescent="0.3">
      <c r="A651" s="15">
        <v>45050</v>
      </c>
      <c r="B651" s="16">
        <v>153</v>
      </c>
      <c r="C651" s="6">
        <v>253</v>
      </c>
      <c r="D651" s="6">
        <v>286</v>
      </c>
      <c r="E651" s="6">
        <v>8790</v>
      </c>
      <c r="F651" s="6">
        <v>332</v>
      </c>
      <c r="G651" s="2"/>
    </row>
    <row r="652" spans="1:7" x14ac:dyDescent="0.3">
      <c r="A652" s="15">
        <v>45049</v>
      </c>
      <c r="B652" s="16">
        <v>209</v>
      </c>
      <c r="C652" s="6">
        <v>353</v>
      </c>
      <c r="D652" s="6">
        <v>232</v>
      </c>
      <c r="E652" s="6">
        <v>8704</v>
      </c>
      <c r="F652" s="6">
        <v>267</v>
      </c>
      <c r="G652" s="2"/>
    </row>
    <row r="653" spans="1:7" x14ac:dyDescent="0.3">
      <c r="A653" s="15">
        <v>45048</v>
      </c>
      <c r="B653" s="16">
        <v>167</v>
      </c>
      <c r="C653" s="6">
        <v>326</v>
      </c>
      <c r="D653" s="6">
        <v>213</v>
      </c>
      <c r="E653" s="6">
        <v>8654</v>
      </c>
      <c r="F653" s="6">
        <v>245</v>
      </c>
      <c r="G653" s="2"/>
    </row>
    <row r="654" spans="1:7" x14ac:dyDescent="0.3">
      <c r="A654" s="15">
        <v>45047</v>
      </c>
      <c r="B654" s="16">
        <v>224</v>
      </c>
      <c r="C654" s="6">
        <v>315</v>
      </c>
      <c r="D654" s="6">
        <v>152</v>
      </c>
      <c r="E654" s="6">
        <v>8492</v>
      </c>
      <c r="F654" s="6">
        <v>237</v>
      </c>
      <c r="G654" s="2"/>
    </row>
    <row r="655" spans="1:7" x14ac:dyDescent="0.3">
      <c r="A655" s="15">
        <v>45046</v>
      </c>
      <c r="B655" s="16">
        <v>132</v>
      </c>
      <c r="C655" s="6">
        <v>243</v>
      </c>
      <c r="D655" s="6">
        <v>183</v>
      </c>
      <c r="E655" s="6">
        <v>8352</v>
      </c>
      <c r="F655" s="6">
        <v>293</v>
      </c>
      <c r="G655" s="2"/>
    </row>
    <row r="656" spans="1:7" x14ac:dyDescent="0.3">
      <c r="A656" s="15">
        <v>45043</v>
      </c>
      <c r="B656" s="16">
        <v>218</v>
      </c>
      <c r="C656" s="6">
        <v>283</v>
      </c>
      <c r="D656" s="6">
        <v>208</v>
      </c>
      <c r="E656" s="6">
        <v>8159</v>
      </c>
      <c r="F656" s="6">
        <v>310</v>
      </c>
      <c r="G656" s="2"/>
    </row>
    <row r="657" spans="1:7" x14ac:dyDescent="0.3">
      <c r="A657" s="15">
        <v>45042</v>
      </c>
      <c r="B657" s="16">
        <v>118</v>
      </c>
      <c r="C657" s="6">
        <v>245</v>
      </c>
      <c r="D657" s="6">
        <v>160</v>
      </c>
      <c r="E657" s="6">
        <v>8117</v>
      </c>
      <c r="F657" s="6">
        <v>256</v>
      </c>
      <c r="G657" s="2"/>
    </row>
    <row r="658" spans="1:7" x14ac:dyDescent="0.3">
      <c r="A658" s="15">
        <v>45041</v>
      </c>
      <c r="B658" s="16">
        <v>81</v>
      </c>
      <c r="C658" s="6">
        <v>230</v>
      </c>
      <c r="D658" s="6">
        <v>242</v>
      </c>
      <c r="E658" s="6">
        <v>8017</v>
      </c>
      <c r="F658" s="6">
        <v>202</v>
      </c>
      <c r="G658" s="2"/>
    </row>
    <row r="659" spans="1:7" x14ac:dyDescent="0.3">
      <c r="A659" s="15">
        <v>45040</v>
      </c>
      <c r="B659" s="16">
        <v>236</v>
      </c>
      <c r="C659" s="6">
        <v>330</v>
      </c>
      <c r="D659" s="6">
        <v>222</v>
      </c>
      <c r="E659" s="6">
        <v>7796</v>
      </c>
      <c r="F659" s="6">
        <v>213</v>
      </c>
      <c r="G659" s="2"/>
    </row>
    <row r="660" spans="1:7" x14ac:dyDescent="0.3">
      <c r="A660" s="15">
        <v>45039</v>
      </c>
      <c r="B660" s="16">
        <v>196</v>
      </c>
      <c r="C660" s="6">
        <v>306</v>
      </c>
      <c r="D660" s="6">
        <v>187</v>
      </c>
      <c r="E660" s="6">
        <v>7534</v>
      </c>
      <c r="F660" s="6">
        <v>266</v>
      </c>
      <c r="G660" s="2"/>
    </row>
    <row r="661" spans="1:7" x14ac:dyDescent="0.3">
      <c r="A661" s="15">
        <v>45036</v>
      </c>
      <c r="B661" s="16">
        <v>113</v>
      </c>
      <c r="C661" s="6">
        <v>280</v>
      </c>
      <c r="D661" s="6">
        <v>237</v>
      </c>
      <c r="E661" s="6">
        <v>7490</v>
      </c>
      <c r="F661" s="6">
        <v>320</v>
      </c>
      <c r="G661" s="2"/>
    </row>
    <row r="662" spans="1:7" x14ac:dyDescent="0.3">
      <c r="A662" s="15">
        <v>45035</v>
      </c>
      <c r="B662" s="16">
        <v>239</v>
      </c>
      <c r="C662" s="6">
        <v>367</v>
      </c>
      <c r="D662" s="6">
        <v>224</v>
      </c>
      <c r="E662" s="6">
        <v>7356</v>
      </c>
      <c r="F662" s="6">
        <v>229</v>
      </c>
      <c r="G662" s="2"/>
    </row>
    <row r="663" spans="1:7" x14ac:dyDescent="0.3">
      <c r="A663" s="15">
        <v>45034</v>
      </c>
      <c r="B663" s="16">
        <v>152</v>
      </c>
      <c r="C663" s="6">
        <v>272</v>
      </c>
      <c r="D663" s="6">
        <v>214</v>
      </c>
      <c r="E663" s="6">
        <v>7376</v>
      </c>
      <c r="F663" s="6">
        <v>234</v>
      </c>
      <c r="G663" s="2"/>
    </row>
    <row r="664" spans="1:7" x14ac:dyDescent="0.3">
      <c r="A664" s="15">
        <v>45033</v>
      </c>
      <c r="B664" s="16">
        <v>170</v>
      </c>
      <c r="C664" s="6">
        <v>297</v>
      </c>
      <c r="D664" s="6">
        <v>196</v>
      </c>
      <c r="E664" s="6">
        <v>7344</v>
      </c>
      <c r="F664" s="6">
        <v>248</v>
      </c>
      <c r="G664" s="2"/>
    </row>
    <row r="665" spans="1:7" x14ac:dyDescent="0.3">
      <c r="A665" s="15">
        <v>45032</v>
      </c>
      <c r="B665" s="16">
        <v>191</v>
      </c>
      <c r="C665" s="6">
        <v>283</v>
      </c>
      <c r="D665" s="6">
        <v>192</v>
      </c>
      <c r="E665" s="6">
        <v>7380</v>
      </c>
      <c r="F665" s="6">
        <v>272</v>
      </c>
      <c r="G665" s="2"/>
    </row>
    <row r="666" spans="1:7" x14ac:dyDescent="0.3">
      <c r="A666" s="15">
        <v>45029</v>
      </c>
      <c r="B666" s="16">
        <v>109</v>
      </c>
      <c r="C666" s="6">
        <v>214</v>
      </c>
      <c r="D666" s="6">
        <v>173</v>
      </c>
      <c r="E666" s="6">
        <v>7795</v>
      </c>
      <c r="F666" s="6">
        <v>370</v>
      </c>
      <c r="G666" s="2"/>
    </row>
    <row r="667" spans="1:7" x14ac:dyDescent="0.3">
      <c r="A667" s="15">
        <v>45028</v>
      </c>
      <c r="B667" s="16">
        <v>155</v>
      </c>
      <c r="C667" s="6">
        <v>212</v>
      </c>
      <c r="D667" s="6">
        <v>181</v>
      </c>
      <c r="E667" s="6">
        <v>7876</v>
      </c>
      <c r="F667" s="6">
        <v>283</v>
      </c>
      <c r="G667" s="2"/>
    </row>
    <row r="668" spans="1:7" x14ac:dyDescent="0.3">
      <c r="A668" s="15">
        <v>45027</v>
      </c>
      <c r="B668" s="16">
        <v>119</v>
      </c>
      <c r="C668" s="6">
        <v>209</v>
      </c>
      <c r="D668" s="6">
        <v>152</v>
      </c>
      <c r="E668" s="6">
        <v>7922</v>
      </c>
      <c r="F668" s="6">
        <v>187</v>
      </c>
      <c r="G668" s="2"/>
    </row>
    <row r="669" spans="1:7" x14ac:dyDescent="0.3">
      <c r="A669" s="15">
        <v>45026</v>
      </c>
      <c r="B669" s="16">
        <v>143</v>
      </c>
      <c r="C669" s="6">
        <v>203</v>
      </c>
      <c r="D669" s="6">
        <v>163</v>
      </c>
      <c r="E669" s="6">
        <v>7826</v>
      </c>
      <c r="F669" s="6">
        <v>265</v>
      </c>
      <c r="G669" s="2"/>
    </row>
    <row r="670" spans="1:7" x14ac:dyDescent="0.3">
      <c r="A670" s="15">
        <v>45025</v>
      </c>
      <c r="B670" s="16">
        <v>105</v>
      </c>
      <c r="C670" s="6">
        <v>210</v>
      </c>
      <c r="D670" s="6">
        <v>149</v>
      </c>
      <c r="E670" s="6">
        <v>7900</v>
      </c>
      <c r="F670" s="6">
        <v>329</v>
      </c>
      <c r="G670" s="2"/>
    </row>
    <row r="671" spans="1:7" x14ac:dyDescent="0.3">
      <c r="A671" s="15">
        <v>45022</v>
      </c>
      <c r="B671" s="16">
        <v>119</v>
      </c>
      <c r="C671" s="6">
        <v>219</v>
      </c>
      <c r="D671" s="6">
        <v>210</v>
      </c>
      <c r="E671" s="6">
        <v>8178</v>
      </c>
      <c r="F671" s="6">
        <v>284</v>
      </c>
      <c r="G671" s="2"/>
    </row>
    <row r="672" spans="1:7" x14ac:dyDescent="0.3">
      <c r="A672" s="15">
        <v>45021</v>
      </c>
      <c r="B672" s="16">
        <v>148</v>
      </c>
      <c r="C672" s="6">
        <v>245</v>
      </c>
      <c r="D672" s="6">
        <v>175</v>
      </c>
      <c r="E672" s="6">
        <v>8175</v>
      </c>
      <c r="F672" s="6">
        <v>260</v>
      </c>
      <c r="G672" s="2"/>
    </row>
    <row r="673" spans="1:7" x14ac:dyDescent="0.3">
      <c r="A673" s="15">
        <v>45020</v>
      </c>
      <c r="B673" s="16">
        <v>142</v>
      </c>
      <c r="C673" s="6">
        <v>235</v>
      </c>
      <c r="D673" s="6">
        <v>139</v>
      </c>
      <c r="E673" s="6">
        <v>8068</v>
      </c>
      <c r="F673" s="6">
        <v>259</v>
      </c>
      <c r="G673" s="2"/>
    </row>
    <row r="674" spans="1:7" x14ac:dyDescent="0.3">
      <c r="A674" s="15">
        <v>45019</v>
      </c>
      <c r="B674" s="16">
        <v>118</v>
      </c>
      <c r="C674" s="6">
        <v>139</v>
      </c>
      <c r="D674" s="6">
        <v>168</v>
      </c>
      <c r="E674" s="6">
        <v>8054</v>
      </c>
      <c r="F674" s="6">
        <v>284</v>
      </c>
      <c r="G674" s="2"/>
    </row>
    <row r="675" spans="1:7" x14ac:dyDescent="0.3">
      <c r="A675" s="15">
        <v>45018</v>
      </c>
      <c r="B675" s="16">
        <v>125</v>
      </c>
      <c r="C675" s="6">
        <v>232</v>
      </c>
      <c r="D675" s="6">
        <v>192</v>
      </c>
      <c r="E675" s="6">
        <v>7981</v>
      </c>
      <c r="F675" s="6">
        <v>304</v>
      </c>
      <c r="G675" s="2"/>
    </row>
    <row r="676" spans="1:7" x14ac:dyDescent="0.3">
      <c r="A676" s="15">
        <v>45015</v>
      </c>
      <c r="B676" s="16">
        <v>156</v>
      </c>
      <c r="C676" s="6">
        <v>256</v>
      </c>
      <c r="D676" s="6">
        <v>176</v>
      </c>
      <c r="E676" s="6">
        <v>8158</v>
      </c>
      <c r="F676" s="6">
        <v>359</v>
      </c>
      <c r="G676" s="2"/>
    </row>
    <row r="677" spans="1:7" x14ac:dyDescent="0.3">
      <c r="A677" s="15">
        <v>45014</v>
      </c>
      <c r="B677" s="16">
        <v>109</v>
      </c>
      <c r="C677" s="6">
        <v>245</v>
      </c>
      <c r="D677" s="6">
        <v>159</v>
      </c>
      <c r="E677" s="6">
        <v>8208</v>
      </c>
      <c r="F677" s="6">
        <v>267</v>
      </c>
      <c r="G677" s="2"/>
    </row>
    <row r="678" spans="1:7" x14ac:dyDescent="0.3">
      <c r="A678" s="15">
        <v>45013</v>
      </c>
      <c r="B678" s="16">
        <v>167</v>
      </c>
      <c r="C678" s="6">
        <v>209</v>
      </c>
      <c r="D678" s="6">
        <v>157</v>
      </c>
      <c r="E678" s="6">
        <v>8079</v>
      </c>
      <c r="F678" s="6">
        <v>223</v>
      </c>
      <c r="G678" s="2"/>
    </row>
    <row r="679" spans="1:7" x14ac:dyDescent="0.3">
      <c r="A679" s="15">
        <v>45012</v>
      </c>
      <c r="B679" s="16">
        <v>84</v>
      </c>
      <c r="C679" s="6">
        <v>171</v>
      </c>
      <c r="D679" s="6">
        <v>157</v>
      </c>
      <c r="E679" s="6">
        <v>7994</v>
      </c>
      <c r="F679" s="6">
        <v>235</v>
      </c>
      <c r="G679" s="2"/>
    </row>
    <row r="680" spans="1:7" x14ac:dyDescent="0.3">
      <c r="A680" s="15">
        <v>45011</v>
      </c>
      <c r="B680" s="16">
        <v>87</v>
      </c>
      <c r="C680" s="6">
        <v>246</v>
      </c>
      <c r="D680" s="6">
        <v>173</v>
      </c>
      <c r="E680" s="6">
        <v>7847</v>
      </c>
      <c r="F680" s="6">
        <v>352</v>
      </c>
      <c r="G680" s="2"/>
    </row>
    <row r="681" spans="1:7" x14ac:dyDescent="0.3">
      <c r="A681" s="15">
        <v>45008</v>
      </c>
      <c r="B681" s="16">
        <v>136</v>
      </c>
      <c r="C681" s="6">
        <v>276</v>
      </c>
      <c r="D681" s="6">
        <v>178</v>
      </c>
      <c r="E681" s="6">
        <v>8102</v>
      </c>
      <c r="F681" s="6">
        <v>331</v>
      </c>
      <c r="G681" s="2"/>
    </row>
    <row r="682" spans="1:7" x14ac:dyDescent="0.3">
      <c r="A682" s="15">
        <v>45007</v>
      </c>
      <c r="B682" s="16">
        <v>166</v>
      </c>
      <c r="C682" s="6">
        <v>277</v>
      </c>
      <c r="D682" s="6">
        <v>229</v>
      </c>
      <c r="E682" s="6">
        <v>8097</v>
      </c>
      <c r="F682" s="6">
        <v>246</v>
      </c>
      <c r="G682" s="2"/>
    </row>
    <row r="683" spans="1:7" x14ac:dyDescent="0.3">
      <c r="A683" s="15">
        <v>45006</v>
      </c>
      <c r="B683" s="16">
        <v>110</v>
      </c>
      <c r="C683" s="6">
        <v>272</v>
      </c>
      <c r="D683" s="6">
        <v>193</v>
      </c>
      <c r="E683" s="6">
        <v>8050</v>
      </c>
      <c r="F683" s="6">
        <v>221</v>
      </c>
      <c r="G683" s="2"/>
    </row>
    <row r="684" spans="1:7" x14ac:dyDescent="0.3">
      <c r="A684" s="15">
        <v>45005</v>
      </c>
      <c r="B684" s="16">
        <v>202</v>
      </c>
      <c r="C684" s="6">
        <v>313</v>
      </c>
      <c r="D684" s="6">
        <v>158</v>
      </c>
      <c r="E684" s="6">
        <v>7931</v>
      </c>
      <c r="F684" s="6">
        <v>279</v>
      </c>
      <c r="G684" s="2"/>
    </row>
    <row r="685" spans="1:7" x14ac:dyDescent="0.3">
      <c r="A685" s="15">
        <v>45004</v>
      </c>
      <c r="B685" s="16">
        <v>134</v>
      </c>
      <c r="C685" s="6">
        <v>294</v>
      </c>
      <c r="D685" s="6">
        <v>186</v>
      </c>
      <c r="E685" s="6">
        <v>7885</v>
      </c>
      <c r="F685" s="6">
        <v>306</v>
      </c>
      <c r="G685" s="2"/>
    </row>
    <row r="686" spans="1:7" x14ac:dyDescent="0.3">
      <c r="A686" s="15">
        <v>45001</v>
      </c>
      <c r="B686" s="16">
        <v>180</v>
      </c>
      <c r="C686" s="6">
        <v>280</v>
      </c>
      <c r="D686" s="6">
        <v>146</v>
      </c>
      <c r="E686" s="6">
        <v>7989</v>
      </c>
      <c r="F686" s="6">
        <v>308</v>
      </c>
      <c r="G686" s="2"/>
    </row>
    <row r="687" spans="1:7" x14ac:dyDescent="0.3">
      <c r="A687" s="15">
        <v>45000</v>
      </c>
      <c r="B687" s="16">
        <v>108</v>
      </c>
      <c r="C687" s="6">
        <v>220</v>
      </c>
      <c r="D687" s="6">
        <v>213</v>
      </c>
      <c r="E687" s="6">
        <v>7915</v>
      </c>
      <c r="F687" s="6">
        <v>286</v>
      </c>
      <c r="G687" s="2"/>
    </row>
    <row r="688" spans="1:7" x14ac:dyDescent="0.3">
      <c r="A688" s="15">
        <v>44999</v>
      </c>
      <c r="B688" s="16">
        <v>147</v>
      </c>
      <c r="C688" s="6">
        <v>276</v>
      </c>
      <c r="D688" s="6">
        <v>214</v>
      </c>
      <c r="E688" s="6">
        <v>7810</v>
      </c>
      <c r="F688" s="6">
        <v>181</v>
      </c>
      <c r="G688" s="2"/>
    </row>
    <row r="689" spans="1:7" x14ac:dyDescent="0.3">
      <c r="A689" s="15">
        <v>44998</v>
      </c>
      <c r="B689" s="16">
        <v>104</v>
      </c>
      <c r="C689" s="6">
        <v>230</v>
      </c>
      <c r="D689" s="6">
        <v>206</v>
      </c>
      <c r="E689" s="6">
        <v>7567</v>
      </c>
      <c r="F689" s="6">
        <v>249</v>
      </c>
      <c r="G689" s="2"/>
    </row>
    <row r="690" spans="1:7" x14ac:dyDescent="0.3">
      <c r="A690" s="15">
        <v>44994</v>
      </c>
      <c r="B690" s="16">
        <v>174</v>
      </c>
      <c r="C690" s="6">
        <v>285</v>
      </c>
      <c r="D690" s="6">
        <v>150</v>
      </c>
      <c r="E690" s="6">
        <v>7786</v>
      </c>
      <c r="F690" s="6">
        <v>340</v>
      </c>
      <c r="G690" s="2"/>
    </row>
    <row r="691" spans="1:7" x14ac:dyDescent="0.3">
      <c r="A691" s="15">
        <v>44993</v>
      </c>
      <c r="B691" s="16">
        <v>113</v>
      </c>
      <c r="C691" s="6">
        <v>208</v>
      </c>
      <c r="D691" s="6">
        <v>159</v>
      </c>
      <c r="E691" s="6">
        <v>7885</v>
      </c>
      <c r="F691" s="6">
        <v>291</v>
      </c>
      <c r="G691" s="2"/>
    </row>
    <row r="692" spans="1:7" x14ac:dyDescent="0.3">
      <c r="A692" s="15">
        <v>44992</v>
      </c>
      <c r="B692" s="16">
        <v>88</v>
      </c>
      <c r="C692" s="6">
        <v>214</v>
      </c>
      <c r="D692" s="6">
        <v>160</v>
      </c>
      <c r="E692" s="6">
        <v>7859</v>
      </c>
      <c r="F692" s="6">
        <v>259</v>
      </c>
      <c r="G692" s="2"/>
    </row>
    <row r="693" spans="1:7" x14ac:dyDescent="0.3">
      <c r="A693" s="15">
        <v>44987</v>
      </c>
      <c r="B693" s="16">
        <v>130</v>
      </c>
      <c r="C693" s="6">
        <v>227</v>
      </c>
      <c r="D693" s="6">
        <v>192</v>
      </c>
      <c r="E693" s="6">
        <v>7870</v>
      </c>
      <c r="F693" s="6">
        <v>335</v>
      </c>
      <c r="G693" s="2"/>
    </row>
    <row r="694" spans="1:7" x14ac:dyDescent="0.3">
      <c r="A694" s="15">
        <v>44986</v>
      </c>
      <c r="B694" s="16">
        <v>84</v>
      </c>
      <c r="C694" s="6">
        <v>158</v>
      </c>
      <c r="D694" s="6">
        <v>193</v>
      </c>
      <c r="E694" s="6">
        <v>7930</v>
      </c>
      <c r="F694" s="6">
        <v>307</v>
      </c>
      <c r="G694" s="2"/>
    </row>
    <row r="695" spans="1:7" x14ac:dyDescent="0.3">
      <c r="A695" s="15">
        <v>44985</v>
      </c>
      <c r="B695" s="16">
        <v>115</v>
      </c>
      <c r="C695" s="6">
        <v>216</v>
      </c>
      <c r="D695" s="6">
        <v>169</v>
      </c>
      <c r="E695" s="6">
        <v>7896</v>
      </c>
      <c r="F695" s="6">
        <v>200</v>
      </c>
      <c r="G695" s="2"/>
    </row>
    <row r="696" spans="1:7" x14ac:dyDescent="0.3">
      <c r="A696" s="15">
        <v>44984</v>
      </c>
      <c r="B696" s="16">
        <v>167</v>
      </c>
      <c r="C696" s="6">
        <v>239</v>
      </c>
      <c r="D696" s="6">
        <v>166</v>
      </c>
      <c r="E696" s="6">
        <v>7800</v>
      </c>
      <c r="F696" s="6">
        <v>248</v>
      </c>
      <c r="G696" s="2"/>
    </row>
    <row r="697" spans="1:7" x14ac:dyDescent="0.3">
      <c r="A697" s="15">
        <v>44983</v>
      </c>
      <c r="B697" s="16">
        <v>99</v>
      </c>
      <c r="C697" s="6">
        <v>190</v>
      </c>
      <c r="D697" s="6">
        <v>176</v>
      </c>
      <c r="E697" s="6">
        <v>7609</v>
      </c>
      <c r="F697" s="6">
        <v>323</v>
      </c>
      <c r="G697" s="2"/>
    </row>
    <row r="698" spans="1:7" x14ac:dyDescent="0.3">
      <c r="A698" s="15">
        <v>44980</v>
      </c>
      <c r="B698" s="16">
        <v>101</v>
      </c>
      <c r="C698" s="6">
        <v>162</v>
      </c>
      <c r="D698" s="6">
        <v>178</v>
      </c>
      <c r="E698" s="6">
        <v>7914</v>
      </c>
      <c r="F698" s="6">
        <v>386</v>
      </c>
      <c r="G698" s="2"/>
    </row>
    <row r="699" spans="1:7" x14ac:dyDescent="0.3">
      <c r="A699" s="15">
        <v>44979</v>
      </c>
      <c r="B699" s="16">
        <v>107</v>
      </c>
      <c r="C699" s="6">
        <v>215</v>
      </c>
      <c r="D699" s="6">
        <v>230</v>
      </c>
      <c r="E699" s="6">
        <v>7978</v>
      </c>
      <c r="F699" s="6">
        <v>232</v>
      </c>
      <c r="G699" s="2"/>
    </row>
    <row r="700" spans="1:7" x14ac:dyDescent="0.3">
      <c r="A700" s="15">
        <v>44978</v>
      </c>
      <c r="B700" s="16">
        <v>184</v>
      </c>
      <c r="C700" s="6">
        <v>314</v>
      </c>
      <c r="D700" s="6">
        <v>217</v>
      </c>
      <c r="E700" s="6">
        <v>7967</v>
      </c>
      <c r="F700" s="6">
        <v>213</v>
      </c>
      <c r="G700" s="2"/>
    </row>
    <row r="701" spans="1:7" x14ac:dyDescent="0.3">
      <c r="A701" s="15">
        <v>44977</v>
      </c>
      <c r="B701" s="16">
        <v>209</v>
      </c>
      <c r="C701" s="6">
        <v>285</v>
      </c>
      <c r="D701" s="6">
        <v>184</v>
      </c>
      <c r="E701" s="6">
        <v>7817</v>
      </c>
      <c r="F701" s="6">
        <v>209</v>
      </c>
      <c r="G701" s="2"/>
    </row>
    <row r="702" spans="1:7" x14ac:dyDescent="0.3">
      <c r="A702" s="15">
        <v>44973</v>
      </c>
      <c r="B702" s="16">
        <v>81</v>
      </c>
      <c r="C702" s="6">
        <v>213</v>
      </c>
      <c r="D702" s="6">
        <v>153</v>
      </c>
      <c r="E702" s="6">
        <v>7793</v>
      </c>
      <c r="F702" s="6">
        <v>361</v>
      </c>
      <c r="G702" s="2"/>
    </row>
    <row r="703" spans="1:7" x14ac:dyDescent="0.3">
      <c r="A703" s="15">
        <v>44972</v>
      </c>
      <c r="B703" s="16">
        <v>91</v>
      </c>
      <c r="C703" s="6">
        <v>199</v>
      </c>
      <c r="D703" s="6">
        <v>172</v>
      </c>
      <c r="E703" s="6">
        <v>7869</v>
      </c>
      <c r="F703" s="6">
        <v>290</v>
      </c>
      <c r="G703" s="2"/>
    </row>
    <row r="704" spans="1:7" x14ac:dyDescent="0.3">
      <c r="A704" s="15">
        <v>44971</v>
      </c>
      <c r="B704" s="16">
        <v>154</v>
      </c>
      <c r="C704" s="6">
        <v>225</v>
      </c>
      <c r="D704" s="6">
        <v>220</v>
      </c>
      <c r="E704" s="6">
        <v>7794</v>
      </c>
      <c r="F704" s="6">
        <v>223</v>
      </c>
      <c r="G704" s="2"/>
    </row>
    <row r="705" spans="1:7" x14ac:dyDescent="0.3">
      <c r="A705" s="15">
        <v>44970</v>
      </c>
      <c r="B705" s="16">
        <v>186</v>
      </c>
      <c r="C705" s="6">
        <v>259</v>
      </c>
      <c r="D705" s="6">
        <v>172</v>
      </c>
      <c r="E705" s="6">
        <v>7483</v>
      </c>
      <c r="F705" s="6">
        <v>244</v>
      </c>
      <c r="G705" s="2"/>
    </row>
    <row r="706" spans="1:7" x14ac:dyDescent="0.3">
      <c r="A706" s="15">
        <v>44969</v>
      </c>
      <c r="B706" s="16">
        <v>92</v>
      </c>
      <c r="C706" s="6">
        <v>203</v>
      </c>
      <c r="D706" s="6">
        <v>173</v>
      </c>
      <c r="E706" s="6">
        <v>7434</v>
      </c>
      <c r="F706" s="6">
        <v>317</v>
      </c>
      <c r="G706" s="2"/>
    </row>
    <row r="707" spans="1:7" x14ac:dyDescent="0.3">
      <c r="A707" s="15">
        <v>44966</v>
      </c>
      <c r="B707" s="16">
        <v>124</v>
      </c>
      <c r="C707" s="6">
        <v>234</v>
      </c>
      <c r="D707" s="6">
        <v>161</v>
      </c>
      <c r="E707" s="6">
        <v>7908</v>
      </c>
      <c r="F707" s="6">
        <v>353</v>
      </c>
      <c r="G707" s="2"/>
    </row>
    <row r="708" spans="1:7" x14ac:dyDescent="0.3">
      <c r="A708" s="15">
        <v>44965</v>
      </c>
      <c r="B708" s="16">
        <v>93</v>
      </c>
      <c r="C708" s="6">
        <v>196</v>
      </c>
      <c r="D708" s="6">
        <v>169</v>
      </c>
      <c r="E708" s="6">
        <v>7915</v>
      </c>
      <c r="F708" s="6">
        <v>317</v>
      </c>
      <c r="G708" s="2"/>
    </row>
    <row r="709" spans="1:7" x14ac:dyDescent="0.3">
      <c r="A709" s="15">
        <v>44964</v>
      </c>
      <c r="B709" s="16">
        <v>16</v>
      </c>
      <c r="C709" s="6">
        <v>20</v>
      </c>
      <c r="D709" s="6">
        <v>20</v>
      </c>
      <c r="E709" s="6">
        <v>7855</v>
      </c>
      <c r="F709" s="6">
        <v>200</v>
      </c>
      <c r="G709" s="2"/>
    </row>
    <row r="710" spans="1:7" x14ac:dyDescent="0.3">
      <c r="A710" s="15">
        <v>44963</v>
      </c>
      <c r="B710" s="16">
        <v>11</v>
      </c>
      <c r="C710" s="6">
        <v>22</v>
      </c>
      <c r="D710" s="6">
        <v>12</v>
      </c>
      <c r="E710" s="6">
        <v>7720</v>
      </c>
      <c r="F710" s="6">
        <v>196</v>
      </c>
      <c r="G710" s="2"/>
    </row>
    <row r="711" spans="1:7" x14ac:dyDescent="0.3">
      <c r="A711" s="15">
        <v>44962</v>
      </c>
      <c r="B711" s="16">
        <v>16</v>
      </c>
      <c r="C711" s="6">
        <v>18</v>
      </c>
      <c r="D711" s="6">
        <v>15</v>
      </c>
      <c r="E711" s="6">
        <v>7586</v>
      </c>
      <c r="F711" s="6">
        <v>342</v>
      </c>
      <c r="G711" s="2"/>
    </row>
    <row r="712" spans="1:7" x14ac:dyDescent="0.3">
      <c r="A712" s="15">
        <v>44959</v>
      </c>
      <c r="B712" s="16">
        <v>15</v>
      </c>
      <c r="C712" s="6">
        <v>13</v>
      </c>
      <c r="D712" s="6">
        <v>23</v>
      </c>
      <c r="E712" s="6">
        <v>7879</v>
      </c>
      <c r="F712" s="6">
        <v>298</v>
      </c>
      <c r="G712" s="2"/>
    </row>
    <row r="713" spans="1:7" x14ac:dyDescent="0.3">
      <c r="A713" s="15">
        <v>44958</v>
      </c>
      <c r="B713" s="16">
        <v>25</v>
      </c>
      <c r="C713" s="6">
        <v>32</v>
      </c>
      <c r="D713" s="6">
        <v>27</v>
      </c>
      <c r="E713" s="6">
        <v>7903</v>
      </c>
      <c r="F713" s="6">
        <v>231</v>
      </c>
      <c r="G713" s="2"/>
    </row>
    <row r="714" spans="1:7" x14ac:dyDescent="0.3">
      <c r="A714" s="15">
        <v>44957</v>
      </c>
      <c r="B714" s="16">
        <v>26</v>
      </c>
      <c r="C714" s="6">
        <v>36</v>
      </c>
      <c r="D714" s="6">
        <v>36</v>
      </c>
      <c r="E714" s="6">
        <v>7803</v>
      </c>
      <c r="F714" s="6">
        <v>158</v>
      </c>
      <c r="G714" s="2"/>
    </row>
    <row r="715" spans="1:7" x14ac:dyDescent="0.3">
      <c r="A715" s="15">
        <v>44956</v>
      </c>
      <c r="B715" s="16">
        <v>34</v>
      </c>
      <c r="C715" s="6">
        <v>54</v>
      </c>
      <c r="D715" s="6">
        <v>29</v>
      </c>
      <c r="E715" s="6">
        <v>7743</v>
      </c>
      <c r="F715" s="6">
        <v>196</v>
      </c>
      <c r="G715" s="2"/>
    </row>
    <row r="716" spans="1:7" x14ac:dyDescent="0.3">
      <c r="A716" s="15">
        <v>44955</v>
      </c>
      <c r="B716" s="16">
        <v>23</v>
      </c>
      <c r="C716" s="6">
        <v>45</v>
      </c>
      <c r="D716" s="6">
        <v>11</v>
      </c>
      <c r="E716" s="6">
        <v>7472</v>
      </c>
      <c r="F716" s="6">
        <v>303</v>
      </c>
      <c r="G716" s="2"/>
    </row>
    <row r="717" spans="1:7" x14ac:dyDescent="0.3">
      <c r="A717" s="15">
        <v>44951</v>
      </c>
      <c r="B717" s="16">
        <v>20</v>
      </c>
      <c r="C717" s="6">
        <v>22</v>
      </c>
      <c r="D717" s="6">
        <v>41</v>
      </c>
      <c r="E717" s="6">
        <v>7538</v>
      </c>
      <c r="F717" s="6">
        <v>180</v>
      </c>
      <c r="G717" s="2"/>
    </row>
    <row r="718" spans="1:7" x14ac:dyDescent="0.3">
      <c r="A718" s="15">
        <v>44950</v>
      </c>
      <c r="B718" s="16">
        <v>47</v>
      </c>
      <c r="C718" s="6">
        <v>42</v>
      </c>
      <c r="D718" s="6">
        <v>47</v>
      </c>
      <c r="E718" s="6">
        <v>7433</v>
      </c>
      <c r="F718" s="6">
        <v>175</v>
      </c>
      <c r="G718" s="2"/>
    </row>
    <row r="719" spans="1:7" x14ac:dyDescent="0.3">
      <c r="A719" s="15">
        <v>44949</v>
      </c>
      <c r="B719" s="16">
        <v>32</v>
      </c>
      <c r="C719" s="6">
        <v>50</v>
      </c>
      <c r="D719" s="6">
        <v>39</v>
      </c>
      <c r="E719" s="6">
        <v>7280</v>
      </c>
      <c r="F719" s="6">
        <v>181</v>
      </c>
      <c r="G719" s="2"/>
    </row>
    <row r="720" spans="1:7" x14ac:dyDescent="0.3">
      <c r="A720" s="15">
        <v>44948</v>
      </c>
      <c r="B720" s="16">
        <v>32</v>
      </c>
      <c r="C720" s="6">
        <v>49</v>
      </c>
      <c r="D720" s="6">
        <v>39</v>
      </c>
      <c r="E720" s="6">
        <v>7122</v>
      </c>
      <c r="F720" s="6">
        <v>227</v>
      </c>
      <c r="G720" s="2"/>
    </row>
    <row r="721" spans="1:7" x14ac:dyDescent="0.3">
      <c r="A721" s="15">
        <v>44938</v>
      </c>
      <c r="B721" s="16">
        <v>33</v>
      </c>
      <c r="C721" s="6">
        <v>53</v>
      </c>
      <c r="D721" s="6">
        <v>34</v>
      </c>
      <c r="E721" s="6">
        <v>6566</v>
      </c>
      <c r="F721" s="6">
        <v>436</v>
      </c>
      <c r="G721" s="2"/>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E7F3C-3FBB-457A-93EB-BB237462A6BE}">
  <dimension ref="A1:T53"/>
  <sheetViews>
    <sheetView showGridLines="0" workbookViewId="0">
      <selection activeCell="D13" sqref="D13"/>
    </sheetView>
  </sheetViews>
  <sheetFormatPr defaultRowHeight="14.4" x14ac:dyDescent="0.3"/>
  <cols>
    <col min="1" max="1" width="28.109375" bestFit="1" customWidth="1"/>
    <col min="2" max="2" width="15" bestFit="1" customWidth="1"/>
    <col min="3" max="3" width="12.44140625" bestFit="1" customWidth="1"/>
    <col min="4" max="4" width="29.77734375" bestFit="1" customWidth="1"/>
    <col min="5" max="5" width="6.5546875" bestFit="1" customWidth="1"/>
    <col min="6" max="6" width="7.5546875" bestFit="1" customWidth="1"/>
    <col min="7" max="7" width="27.21875" bestFit="1" customWidth="1"/>
    <col min="8" max="9" width="7.5546875" bestFit="1" customWidth="1"/>
    <col min="10" max="10" width="34.5546875" bestFit="1" customWidth="1"/>
    <col min="11" max="11" width="32" bestFit="1" customWidth="1"/>
    <col min="12" max="12" width="12" bestFit="1" customWidth="1"/>
    <col min="13" max="13" width="37.33203125" bestFit="1" customWidth="1"/>
    <col min="14" max="14" width="15" bestFit="1" customWidth="1"/>
    <col min="15" max="15" width="6" bestFit="1" customWidth="1"/>
    <col min="16" max="16" width="5" bestFit="1" customWidth="1"/>
    <col min="17" max="17" width="10.5546875" bestFit="1" customWidth="1"/>
    <col min="18" max="27" width="12" bestFit="1" customWidth="1"/>
    <col min="28" max="28" width="34.5546875" bestFit="1" customWidth="1"/>
    <col min="29" max="29" width="32" bestFit="1" customWidth="1"/>
    <col min="30" max="708" width="15.5546875" bestFit="1" customWidth="1"/>
    <col min="709" max="709" width="10.77734375" bestFit="1" customWidth="1"/>
  </cols>
  <sheetData>
    <row r="1" spans="1:17" ht="28.2" x14ac:dyDescent="0.3">
      <c r="A1" s="46" t="s">
        <v>783</v>
      </c>
      <c r="B1" s="46"/>
      <c r="C1" s="46"/>
      <c r="D1" s="46"/>
      <c r="E1" s="46"/>
      <c r="F1" s="46"/>
      <c r="G1" s="46"/>
      <c r="H1" s="46"/>
      <c r="I1" s="46"/>
      <c r="J1" s="46"/>
      <c r="K1" s="46"/>
      <c r="L1" s="46"/>
      <c r="M1" s="46"/>
      <c r="N1" s="46"/>
      <c r="O1" s="46"/>
      <c r="P1" s="46"/>
      <c r="Q1" s="46"/>
    </row>
    <row r="3" spans="1:17" ht="16.2" x14ac:dyDescent="0.4">
      <c r="A3" s="21"/>
      <c r="B3" s="48" t="s">
        <v>778</v>
      </c>
      <c r="C3" s="48"/>
      <c r="D3" s="48"/>
      <c r="E3" s="48"/>
      <c r="F3" s="48"/>
      <c r="G3" s="21"/>
      <c r="H3" s="50" t="s">
        <v>779</v>
      </c>
      <c r="I3" s="50"/>
      <c r="J3" s="50"/>
      <c r="K3" s="50"/>
      <c r="L3" s="50"/>
      <c r="M3" s="45"/>
      <c r="N3" s="45"/>
      <c r="O3" s="45"/>
      <c r="P3" s="45"/>
      <c r="Q3" s="45"/>
    </row>
    <row r="4" spans="1:17" x14ac:dyDescent="0.3">
      <c r="B4" s="7" t="s">
        <v>735</v>
      </c>
      <c r="C4" s="7" t="s">
        <v>773</v>
      </c>
      <c r="H4" s="7" t="s">
        <v>774</v>
      </c>
      <c r="I4" s="7" t="s">
        <v>773</v>
      </c>
    </row>
    <row r="5" spans="1:17" x14ac:dyDescent="0.3">
      <c r="B5" s="7" t="s">
        <v>736</v>
      </c>
      <c r="C5" t="s">
        <v>758</v>
      </c>
      <c r="D5" t="s">
        <v>759</v>
      </c>
      <c r="E5" t="s">
        <v>760</v>
      </c>
      <c r="F5" t="s">
        <v>737</v>
      </c>
      <c r="H5" s="7" t="s">
        <v>736</v>
      </c>
      <c r="I5" t="s">
        <v>758</v>
      </c>
      <c r="J5" t="s">
        <v>759</v>
      </c>
      <c r="K5" t="s">
        <v>760</v>
      </c>
      <c r="L5" t="s">
        <v>737</v>
      </c>
    </row>
    <row r="6" spans="1:17" x14ac:dyDescent="0.3">
      <c r="B6" s="8" t="s">
        <v>761</v>
      </c>
      <c r="C6">
        <v>247</v>
      </c>
      <c r="D6">
        <v>2097</v>
      </c>
      <c r="E6">
        <v>1311</v>
      </c>
      <c r="F6">
        <v>3655</v>
      </c>
      <c r="H6" s="8" t="s">
        <v>761</v>
      </c>
      <c r="I6" s="9">
        <v>43.875</v>
      </c>
      <c r="J6" s="9">
        <v>170.59090909090909</v>
      </c>
      <c r="K6" s="9">
        <v>88.954545454545453</v>
      </c>
      <c r="L6" s="9">
        <v>116.55769230769231</v>
      </c>
    </row>
    <row r="7" spans="1:17" x14ac:dyDescent="0.3">
      <c r="B7" s="8" t="s">
        <v>762</v>
      </c>
      <c r="C7">
        <v>1886</v>
      </c>
      <c r="D7">
        <v>4517</v>
      </c>
      <c r="E7">
        <v>312</v>
      </c>
      <c r="F7">
        <v>6715</v>
      </c>
      <c r="H7" s="8" t="s">
        <v>762</v>
      </c>
      <c r="I7" s="9">
        <v>171.31578947368422</v>
      </c>
      <c r="J7" s="9">
        <v>441.6</v>
      </c>
      <c r="K7" s="9">
        <v>22.684210526315791</v>
      </c>
      <c r="L7" s="9">
        <v>215.82758620689654</v>
      </c>
    </row>
    <row r="8" spans="1:17" x14ac:dyDescent="0.3">
      <c r="B8" s="8" t="s">
        <v>763</v>
      </c>
      <c r="C8">
        <v>2479</v>
      </c>
      <c r="D8">
        <v>3377</v>
      </c>
      <c r="E8">
        <v>169</v>
      </c>
      <c r="F8">
        <v>6025</v>
      </c>
      <c r="H8" s="8" t="s">
        <v>763</v>
      </c>
      <c r="I8" s="9">
        <v>245.10526315789474</v>
      </c>
      <c r="J8" s="9">
        <v>321.1904761904762</v>
      </c>
      <c r="K8" s="9">
        <v>21.454545454545453</v>
      </c>
      <c r="L8" s="9">
        <v>191.51612903225808</v>
      </c>
    </row>
    <row r="9" spans="1:17" x14ac:dyDescent="0.3">
      <c r="B9" s="8" t="s">
        <v>764</v>
      </c>
      <c r="C9">
        <v>3129</v>
      </c>
      <c r="D9">
        <v>3424</v>
      </c>
      <c r="E9">
        <v>189</v>
      </c>
      <c r="F9">
        <v>6742</v>
      </c>
      <c r="H9" s="8" t="s">
        <v>764</v>
      </c>
      <c r="I9" s="9">
        <v>250.1904761904762</v>
      </c>
      <c r="J9" s="9">
        <v>309.18181818181819</v>
      </c>
      <c r="K9" s="9">
        <v>24.869565217391305</v>
      </c>
      <c r="L9" s="9">
        <v>191.33333333333334</v>
      </c>
    </row>
    <row r="10" spans="1:17" x14ac:dyDescent="0.3">
      <c r="B10" s="8" t="s">
        <v>765</v>
      </c>
      <c r="C10">
        <v>2746</v>
      </c>
      <c r="D10">
        <v>3493</v>
      </c>
      <c r="E10">
        <v>233</v>
      </c>
      <c r="F10">
        <v>6472</v>
      </c>
      <c r="H10" s="8" t="s">
        <v>765</v>
      </c>
      <c r="I10" s="9">
        <v>216.95454545454547</v>
      </c>
      <c r="J10" s="9">
        <v>345.76190476190476</v>
      </c>
      <c r="K10" s="9">
        <v>1028.875</v>
      </c>
      <c r="L10" s="9">
        <v>640.83132530120486</v>
      </c>
    </row>
    <row r="11" spans="1:17" ht="17.399999999999999" customHeight="1" x14ac:dyDescent="0.3">
      <c r="B11" s="8" t="s">
        <v>766</v>
      </c>
      <c r="C11">
        <v>1774</v>
      </c>
      <c r="D11">
        <v>3376</v>
      </c>
      <c r="E11">
        <v>123</v>
      </c>
      <c r="F11">
        <v>5273</v>
      </c>
      <c r="H11" s="8" t="s">
        <v>766</v>
      </c>
      <c r="I11" s="9">
        <v>145.65</v>
      </c>
      <c r="J11" s="9">
        <v>283.95238095238096</v>
      </c>
      <c r="K11" s="9">
        <v>19.058823529411764</v>
      </c>
      <c r="L11" s="9">
        <v>158.62068965517241</v>
      </c>
    </row>
    <row r="12" spans="1:17" ht="17.399999999999999" customHeight="1" x14ac:dyDescent="0.3">
      <c r="B12" s="8" t="s">
        <v>767</v>
      </c>
      <c r="C12">
        <v>2858</v>
      </c>
      <c r="D12">
        <v>2563</v>
      </c>
      <c r="E12">
        <v>70</v>
      </c>
      <c r="F12">
        <v>5491</v>
      </c>
      <c r="H12" s="8" t="s">
        <v>767</v>
      </c>
      <c r="I12" s="9">
        <v>245.28571428571428</v>
      </c>
      <c r="J12" s="9">
        <v>212.42857142857142</v>
      </c>
      <c r="K12" s="9">
        <v>13.952380952380953</v>
      </c>
      <c r="L12" s="9">
        <v>157.22222222222223</v>
      </c>
    </row>
    <row r="13" spans="1:17" x14ac:dyDescent="0.3">
      <c r="B13" s="8" t="s">
        <v>768</v>
      </c>
      <c r="C13">
        <v>2751</v>
      </c>
      <c r="D13">
        <v>2656</v>
      </c>
      <c r="E13">
        <v>107</v>
      </c>
      <c r="F13">
        <v>5514</v>
      </c>
      <c r="H13" s="8" t="s">
        <v>768</v>
      </c>
      <c r="I13" s="9">
        <v>237.2</v>
      </c>
      <c r="J13" s="9">
        <v>254.47368421052633</v>
      </c>
      <c r="K13" s="9">
        <v>25.6</v>
      </c>
      <c r="L13" s="9">
        <v>171.03389830508473</v>
      </c>
    </row>
    <row r="14" spans="1:17" x14ac:dyDescent="0.3">
      <c r="B14" s="8" t="s">
        <v>769</v>
      </c>
      <c r="C14">
        <v>3194</v>
      </c>
      <c r="D14">
        <v>2783</v>
      </c>
      <c r="F14">
        <v>5977</v>
      </c>
      <c r="H14" s="8" t="s">
        <v>769</v>
      </c>
      <c r="I14" s="9">
        <v>291.05263157894734</v>
      </c>
      <c r="J14" s="9">
        <v>239.22727272727272</v>
      </c>
      <c r="K14" s="9"/>
      <c r="L14" s="9">
        <v>263.2439024390244</v>
      </c>
    </row>
    <row r="15" spans="1:17" x14ac:dyDescent="0.3">
      <c r="B15" s="8" t="s">
        <v>770</v>
      </c>
      <c r="C15">
        <v>1486</v>
      </c>
      <c r="D15">
        <v>2736</v>
      </c>
      <c r="E15">
        <v>168</v>
      </c>
      <c r="F15">
        <v>4390</v>
      </c>
      <c r="H15" s="8" t="s">
        <v>770</v>
      </c>
      <c r="I15" s="9">
        <v>102.90909090909091</v>
      </c>
      <c r="J15" s="9">
        <v>243.42857142857142</v>
      </c>
      <c r="K15" s="9">
        <v>34.333333333333336</v>
      </c>
      <c r="L15" s="9">
        <v>126.515625</v>
      </c>
    </row>
    <row r="16" spans="1:17" x14ac:dyDescent="0.3">
      <c r="B16" s="8" t="s">
        <v>771</v>
      </c>
      <c r="C16">
        <v>2299</v>
      </c>
      <c r="D16">
        <v>2664</v>
      </c>
      <c r="E16">
        <v>129</v>
      </c>
      <c r="F16">
        <v>5092</v>
      </c>
      <c r="H16" s="8" t="s">
        <v>771</v>
      </c>
      <c r="I16" s="9">
        <v>183.5</v>
      </c>
      <c r="J16" s="9">
        <v>236.73684210526315</v>
      </c>
      <c r="K16" s="9">
        <v>34.789473684210527</v>
      </c>
      <c r="L16" s="9">
        <v>152.22413793103448</v>
      </c>
    </row>
    <row r="17" spans="1:20" x14ac:dyDescent="0.3">
      <c r="B17" s="8" t="s">
        <v>772</v>
      </c>
      <c r="C17">
        <v>2207</v>
      </c>
      <c r="D17">
        <v>3480</v>
      </c>
      <c r="E17">
        <v>116</v>
      </c>
      <c r="F17">
        <v>5803</v>
      </c>
      <c r="H17" s="8" t="s">
        <v>772</v>
      </c>
      <c r="I17" s="9">
        <v>186.63157894736841</v>
      </c>
      <c r="J17" s="9">
        <v>271.72727272727275</v>
      </c>
      <c r="K17" s="9">
        <v>36.200000000000003</v>
      </c>
      <c r="L17" s="9">
        <v>179.76785714285714</v>
      </c>
    </row>
    <row r="18" spans="1:20" x14ac:dyDescent="0.3">
      <c r="B18" s="8" t="s">
        <v>737</v>
      </c>
      <c r="C18">
        <v>27056</v>
      </c>
      <c r="D18">
        <v>37166</v>
      </c>
      <c r="E18">
        <v>2927</v>
      </c>
      <c r="F18">
        <v>67149</v>
      </c>
      <c r="H18" s="8" t="s">
        <v>737</v>
      </c>
      <c r="I18" s="9">
        <v>200.46956521739131</v>
      </c>
      <c r="J18" s="9">
        <v>276.90438247011951</v>
      </c>
      <c r="K18" s="9">
        <v>199.3347280334728</v>
      </c>
      <c r="L18" s="9">
        <v>226.73888888888888</v>
      </c>
    </row>
    <row r="19" spans="1:20" x14ac:dyDescent="0.3">
      <c r="A19" s="8"/>
      <c r="G19" s="8"/>
      <c r="H19" s="9"/>
      <c r="I19" s="9"/>
      <c r="J19" s="9"/>
      <c r="K19" s="9"/>
      <c r="L19" s="3"/>
      <c r="M19" s="3"/>
      <c r="N19" s="3"/>
      <c r="O19" s="3"/>
      <c r="P19" s="3"/>
      <c r="Q19" s="3"/>
      <c r="R19" s="3"/>
      <c r="S19" s="3"/>
      <c r="T19" s="3"/>
    </row>
    <row r="20" spans="1:20" ht="16.2" x14ac:dyDescent="0.4">
      <c r="A20" s="48" t="s">
        <v>781</v>
      </c>
      <c r="B20" s="48"/>
      <c r="C20" s="48"/>
      <c r="D20" s="48"/>
      <c r="E20" s="48"/>
      <c r="F20" s="19"/>
      <c r="G20" s="47" t="s">
        <v>780</v>
      </c>
      <c r="H20" s="47"/>
      <c r="I20" s="47"/>
      <c r="J20" s="47"/>
      <c r="K20" s="47"/>
      <c r="L20" s="20"/>
      <c r="M20" s="49" t="s">
        <v>782</v>
      </c>
      <c r="N20" s="49"/>
      <c r="O20" s="49"/>
      <c r="P20" s="49"/>
      <c r="Q20" s="49"/>
    </row>
    <row r="21" spans="1:20" x14ac:dyDescent="0.3">
      <c r="A21" s="7" t="s">
        <v>775</v>
      </c>
      <c r="B21" s="7" t="s">
        <v>773</v>
      </c>
      <c r="G21" s="7" t="s">
        <v>776</v>
      </c>
      <c r="H21" s="7" t="s">
        <v>773</v>
      </c>
      <c r="M21" s="7" t="s">
        <v>777</v>
      </c>
      <c r="N21" s="7" t="s">
        <v>773</v>
      </c>
    </row>
    <row r="22" spans="1:20" x14ac:dyDescent="0.3">
      <c r="A22" s="7" t="s">
        <v>736</v>
      </c>
      <c r="B22" t="s">
        <v>758</v>
      </c>
      <c r="C22" t="s">
        <v>759</v>
      </c>
      <c r="D22" t="s">
        <v>760</v>
      </c>
      <c r="E22" t="s">
        <v>737</v>
      </c>
      <c r="G22" s="7" t="s">
        <v>736</v>
      </c>
      <c r="H22" t="s">
        <v>758</v>
      </c>
      <c r="I22" t="s">
        <v>759</v>
      </c>
      <c r="J22" t="s">
        <v>760</v>
      </c>
      <c r="K22" t="s">
        <v>737</v>
      </c>
      <c r="M22" s="7" t="s">
        <v>736</v>
      </c>
      <c r="N22" t="s">
        <v>758</v>
      </c>
      <c r="O22" t="s">
        <v>759</v>
      </c>
      <c r="P22" t="s">
        <v>760</v>
      </c>
      <c r="Q22" t="s">
        <v>737</v>
      </c>
    </row>
    <row r="23" spans="1:20" x14ac:dyDescent="0.3">
      <c r="A23" s="8" t="s">
        <v>761</v>
      </c>
      <c r="B23" s="10">
        <v>7369.625</v>
      </c>
      <c r="C23" s="10">
        <v>8851.045454545454</v>
      </c>
      <c r="D23" s="10">
        <v>4991.090909090909</v>
      </c>
      <c r="E23" s="10">
        <v>6990.0769230769229</v>
      </c>
      <c r="G23" s="8" t="s">
        <v>761</v>
      </c>
      <c r="H23">
        <v>276</v>
      </c>
      <c r="I23">
        <v>2850</v>
      </c>
      <c r="J23">
        <v>1750</v>
      </c>
      <c r="K23">
        <v>4876</v>
      </c>
      <c r="M23" s="8" t="s">
        <v>761</v>
      </c>
      <c r="N23">
        <v>1856</v>
      </c>
      <c r="O23">
        <v>6496</v>
      </c>
      <c r="P23">
        <v>3330</v>
      </c>
      <c r="Q23">
        <v>11682</v>
      </c>
    </row>
    <row r="24" spans="1:20" x14ac:dyDescent="0.3">
      <c r="A24" s="8" t="s">
        <v>762</v>
      </c>
      <c r="B24" s="10">
        <v>7795.7894736842109</v>
      </c>
      <c r="C24" s="10">
        <v>8325.2000000000007</v>
      </c>
      <c r="D24" s="10">
        <v>2781.5263157894738</v>
      </c>
      <c r="E24" s="10">
        <v>6335.7413793103451</v>
      </c>
      <c r="G24" s="8" t="s">
        <v>762</v>
      </c>
      <c r="H24">
        <v>2637</v>
      </c>
      <c r="I24">
        <v>6332</v>
      </c>
      <c r="J24">
        <v>341</v>
      </c>
      <c r="K24">
        <v>9310</v>
      </c>
      <c r="M24" s="8" t="s">
        <v>762</v>
      </c>
      <c r="N24">
        <v>5183</v>
      </c>
      <c r="O24">
        <v>5273</v>
      </c>
      <c r="P24">
        <v>1160</v>
      </c>
      <c r="Q24">
        <v>11616</v>
      </c>
    </row>
    <row r="25" spans="1:20" x14ac:dyDescent="0.3">
      <c r="A25" s="8" t="s">
        <v>763</v>
      </c>
      <c r="B25" s="10">
        <v>7945.3684210526317</v>
      </c>
      <c r="C25" s="10">
        <v>8382.6666666666661</v>
      </c>
      <c r="D25" s="10">
        <v>2164.4545454545455</v>
      </c>
      <c r="E25" s="10">
        <v>6042.1935483870966</v>
      </c>
      <c r="G25" s="8" t="s">
        <v>763</v>
      </c>
      <c r="H25">
        <v>3399</v>
      </c>
      <c r="I25">
        <v>5209</v>
      </c>
      <c r="J25">
        <v>190</v>
      </c>
      <c r="K25">
        <v>8798</v>
      </c>
      <c r="M25" s="8" t="s">
        <v>763</v>
      </c>
      <c r="N25">
        <v>5375</v>
      </c>
      <c r="O25">
        <v>5678</v>
      </c>
      <c r="P25">
        <v>309</v>
      </c>
      <c r="Q25">
        <v>11362</v>
      </c>
    </row>
    <row r="26" spans="1:20" x14ac:dyDescent="0.3">
      <c r="A26" s="8" t="s">
        <v>764</v>
      </c>
      <c r="B26" s="10">
        <v>7842.666666666667</v>
      </c>
      <c r="C26" s="10">
        <v>7027.136363636364</v>
      </c>
      <c r="D26" s="10">
        <v>2273.1304347826085</v>
      </c>
      <c r="E26" s="10">
        <v>5629.924242424242</v>
      </c>
      <c r="G26" s="8" t="s">
        <v>764</v>
      </c>
      <c r="H26">
        <v>3967</v>
      </c>
      <c r="I26">
        <v>5178</v>
      </c>
      <c r="J26">
        <v>230</v>
      </c>
      <c r="K26">
        <v>9375</v>
      </c>
      <c r="M26" s="8" t="s">
        <v>764</v>
      </c>
      <c r="N26">
        <v>5668</v>
      </c>
      <c r="O26">
        <v>4474</v>
      </c>
      <c r="P26">
        <v>203</v>
      </c>
      <c r="Q26">
        <v>10345</v>
      </c>
    </row>
    <row r="27" spans="1:20" x14ac:dyDescent="0.3">
      <c r="A27" s="8" t="s">
        <v>765</v>
      </c>
      <c r="B27" s="10">
        <v>8187.136363636364</v>
      </c>
      <c r="C27" s="10">
        <v>7490.2857142857147</v>
      </c>
      <c r="D27" s="10">
        <v>2228.35</v>
      </c>
      <c r="E27" s="10">
        <v>5139.1204819277109</v>
      </c>
      <c r="G27" s="8" t="s">
        <v>765</v>
      </c>
      <c r="H27">
        <v>3622</v>
      </c>
      <c r="I27">
        <v>5194</v>
      </c>
      <c r="J27">
        <v>512</v>
      </c>
      <c r="K27">
        <v>9328</v>
      </c>
      <c r="M27" s="8" t="s">
        <v>765</v>
      </c>
      <c r="N27">
        <v>6256</v>
      </c>
      <c r="O27">
        <v>4336</v>
      </c>
      <c r="P27">
        <v>442</v>
      </c>
      <c r="Q27">
        <v>11034</v>
      </c>
    </row>
    <row r="28" spans="1:20" x14ac:dyDescent="0.3">
      <c r="A28" s="8" t="s">
        <v>766</v>
      </c>
      <c r="B28" s="10">
        <v>6136.45</v>
      </c>
      <c r="C28" s="10">
        <v>7407.5238095238092</v>
      </c>
      <c r="D28" s="10">
        <v>2492.4117647058824</v>
      </c>
      <c r="E28" s="10">
        <v>5528.5862068965516</v>
      </c>
      <c r="G28" s="8" t="s">
        <v>766</v>
      </c>
      <c r="H28">
        <v>2416</v>
      </c>
      <c r="I28">
        <v>4882</v>
      </c>
      <c r="J28">
        <v>138</v>
      </c>
      <c r="K28">
        <v>7436</v>
      </c>
      <c r="M28" s="8" t="s">
        <v>766</v>
      </c>
      <c r="N28">
        <v>4029</v>
      </c>
      <c r="O28">
        <v>4911</v>
      </c>
      <c r="P28">
        <v>281</v>
      </c>
      <c r="Q28">
        <v>9221</v>
      </c>
    </row>
    <row r="29" spans="1:20" x14ac:dyDescent="0.3">
      <c r="A29" s="8" t="s">
        <v>767</v>
      </c>
      <c r="B29" s="10">
        <v>6828.0952380952385</v>
      </c>
      <c r="C29" s="10">
        <v>6286.333333333333</v>
      </c>
      <c r="D29" s="10">
        <v>2187.1904761904761</v>
      </c>
      <c r="E29" s="10">
        <v>5100.5396825396829</v>
      </c>
      <c r="G29" s="8" t="s">
        <v>767</v>
      </c>
      <c r="H29">
        <v>3897</v>
      </c>
      <c r="I29">
        <v>3679</v>
      </c>
      <c r="J29">
        <v>88</v>
      </c>
      <c r="K29">
        <v>7664</v>
      </c>
      <c r="M29" s="8" t="s">
        <v>767</v>
      </c>
      <c r="N29">
        <v>4407</v>
      </c>
      <c r="O29">
        <v>3899</v>
      </c>
      <c r="P29">
        <v>396</v>
      </c>
      <c r="Q29">
        <v>8702</v>
      </c>
    </row>
    <row r="30" spans="1:20" x14ac:dyDescent="0.3">
      <c r="A30" s="8" t="s">
        <v>768</v>
      </c>
      <c r="B30" s="10">
        <v>9347.9</v>
      </c>
      <c r="C30" s="10">
        <v>6004.2631578947367</v>
      </c>
      <c r="D30" s="10">
        <v>2001.3</v>
      </c>
      <c r="E30" s="10">
        <v>5780.7627118644068</v>
      </c>
      <c r="G30" s="8" t="s">
        <v>768</v>
      </c>
      <c r="H30">
        <v>3587</v>
      </c>
      <c r="I30">
        <v>3546</v>
      </c>
      <c r="J30">
        <v>147</v>
      </c>
      <c r="K30">
        <v>7280</v>
      </c>
      <c r="M30" s="8" t="s">
        <v>768</v>
      </c>
      <c r="N30">
        <v>6470</v>
      </c>
      <c r="O30">
        <v>3073</v>
      </c>
      <c r="P30">
        <v>254</v>
      </c>
      <c r="Q30">
        <v>9797</v>
      </c>
    </row>
    <row r="31" spans="1:20" x14ac:dyDescent="0.3">
      <c r="A31" s="8" t="s">
        <v>769</v>
      </c>
      <c r="B31" s="10">
        <v>10701.315789473685</v>
      </c>
      <c r="C31" s="10">
        <v>6213.409090909091</v>
      </c>
      <c r="D31" s="10"/>
      <c r="E31" s="10">
        <v>8293.1707317073178</v>
      </c>
      <c r="G31" s="8" t="s">
        <v>769</v>
      </c>
      <c r="H31">
        <v>3971</v>
      </c>
      <c r="I31">
        <v>3987</v>
      </c>
      <c r="K31">
        <v>7958</v>
      </c>
      <c r="M31" s="8" t="s">
        <v>769</v>
      </c>
      <c r="N31">
        <v>6546</v>
      </c>
      <c r="O31">
        <v>3692</v>
      </c>
      <c r="Q31">
        <v>10238</v>
      </c>
    </row>
    <row r="32" spans="1:20" x14ac:dyDescent="0.3">
      <c r="A32" s="8" t="s">
        <v>770</v>
      </c>
      <c r="B32" s="10">
        <v>10205.318181818182</v>
      </c>
      <c r="C32" s="10">
        <v>6032.8571428571431</v>
      </c>
      <c r="D32" s="10">
        <v>2231.0476190476193</v>
      </c>
      <c r="E32" s="10">
        <v>6219.671875</v>
      </c>
      <c r="G32" s="8" t="s">
        <v>770</v>
      </c>
      <c r="H32">
        <v>2049</v>
      </c>
      <c r="I32">
        <v>3886</v>
      </c>
      <c r="J32">
        <v>263</v>
      </c>
      <c r="K32">
        <v>6198</v>
      </c>
      <c r="M32" s="8" t="s">
        <v>770</v>
      </c>
      <c r="N32">
        <v>7658</v>
      </c>
      <c r="O32">
        <v>3194</v>
      </c>
      <c r="P32">
        <v>242</v>
      </c>
      <c r="Q32">
        <v>11094</v>
      </c>
    </row>
    <row r="33" spans="1:17" x14ac:dyDescent="0.3">
      <c r="A33" s="8" t="s">
        <v>771</v>
      </c>
      <c r="B33" s="10">
        <v>9726.1</v>
      </c>
      <c r="C33" s="10">
        <v>5914.6842105263158</v>
      </c>
      <c r="D33" s="10">
        <v>2325.8947368421054</v>
      </c>
      <c r="E33" s="10">
        <v>6053.3275862068967</v>
      </c>
      <c r="G33" s="8" t="s">
        <v>771</v>
      </c>
      <c r="H33">
        <v>3198</v>
      </c>
      <c r="I33">
        <v>3414</v>
      </c>
      <c r="J33">
        <v>182</v>
      </c>
      <c r="K33">
        <v>6794</v>
      </c>
      <c r="M33" s="8" t="s">
        <v>771</v>
      </c>
      <c r="N33">
        <v>5992</v>
      </c>
      <c r="O33">
        <v>3001</v>
      </c>
      <c r="P33">
        <v>159</v>
      </c>
      <c r="Q33">
        <v>9152</v>
      </c>
    </row>
    <row r="34" spans="1:17" x14ac:dyDescent="0.3">
      <c r="A34" s="8" t="s">
        <v>772</v>
      </c>
      <c r="B34" s="10">
        <v>11068.631578947368</v>
      </c>
      <c r="C34" s="10">
        <v>6418.681818181818</v>
      </c>
      <c r="D34" s="10">
        <v>2445.2666666666669</v>
      </c>
      <c r="E34" s="10">
        <v>6932.0357142857147</v>
      </c>
      <c r="G34" s="8" t="s">
        <v>772</v>
      </c>
      <c r="H34">
        <v>3105</v>
      </c>
      <c r="I34">
        <v>4395</v>
      </c>
      <c r="J34">
        <v>124</v>
      </c>
      <c r="K34">
        <v>7624</v>
      </c>
      <c r="M34" s="8" t="s">
        <v>772</v>
      </c>
      <c r="N34">
        <v>6804</v>
      </c>
      <c r="O34">
        <v>3662</v>
      </c>
      <c r="P34">
        <v>144</v>
      </c>
      <c r="Q34">
        <v>10610</v>
      </c>
    </row>
    <row r="35" spans="1:17" x14ac:dyDescent="0.3">
      <c r="A35" s="8" t="s">
        <v>737</v>
      </c>
      <c r="B35" s="10">
        <v>8646.0739130434777</v>
      </c>
      <c r="C35" s="10">
        <v>7042.9601593625493</v>
      </c>
      <c r="D35" s="10">
        <v>2542.8368200836821</v>
      </c>
      <c r="E35" s="10">
        <v>6061.2749999999996</v>
      </c>
      <c r="G35" s="8" t="s">
        <v>737</v>
      </c>
      <c r="H35">
        <v>36124</v>
      </c>
      <c r="I35">
        <v>52552</v>
      </c>
      <c r="J35">
        <v>3965</v>
      </c>
      <c r="K35">
        <v>92641</v>
      </c>
      <c r="M35" s="8" t="s">
        <v>737</v>
      </c>
      <c r="N35">
        <v>66244</v>
      </c>
      <c r="O35">
        <v>51689</v>
      </c>
      <c r="P35">
        <v>6920</v>
      </c>
      <c r="Q35">
        <v>124853</v>
      </c>
    </row>
    <row r="37" spans="1:17" x14ac:dyDescent="0.3">
      <c r="C37" s="44" t="s">
        <v>784</v>
      </c>
      <c r="D37" s="44"/>
      <c r="E37" s="44"/>
      <c r="F37" s="44"/>
      <c r="G37" s="44"/>
      <c r="H37" s="44"/>
      <c r="I37" s="44"/>
      <c r="J37" s="44"/>
      <c r="K37" s="44"/>
    </row>
    <row r="38" spans="1:17" x14ac:dyDescent="0.3">
      <c r="C38" s="9"/>
      <c r="D38" s="22" t="s">
        <v>773</v>
      </c>
      <c r="E38" s="9"/>
      <c r="F38" s="9"/>
      <c r="G38" s="9"/>
      <c r="H38" s="9"/>
      <c r="I38" s="9"/>
      <c r="J38" s="9"/>
      <c r="K38" s="9"/>
    </row>
    <row r="39" spans="1:17" x14ac:dyDescent="0.3">
      <c r="C39" s="9"/>
      <c r="D39" s="9" t="s">
        <v>774</v>
      </c>
      <c r="E39" s="9"/>
      <c r="F39" s="9"/>
      <c r="G39" s="9" t="s">
        <v>775</v>
      </c>
      <c r="H39" s="9"/>
      <c r="I39" s="9"/>
      <c r="J39" s="9" t="s">
        <v>785</v>
      </c>
      <c r="K39" s="9" t="s">
        <v>786</v>
      </c>
    </row>
    <row r="40" spans="1:17" x14ac:dyDescent="0.3">
      <c r="C40" s="22" t="s">
        <v>736</v>
      </c>
      <c r="D40" s="9" t="s">
        <v>758</v>
      </c>
      <c r="E40" s="9" t="s">
        <v>759</v>
      </c>
      <c r="F40" s="9" t="s">
        <v>760</v>
      </c>
      <c r="G40" s="9" t="s">
        <v>758</v>
      </c>
      <c r="H40" s="9" t="s">
        <v>759</v>
      </c>
      <c r="I40" s="9" t="s">
        <v>760</v>
      </c>
      <c r="J40" s="9"/>
      <c r="K40" s="9"/>
    </row>
    <row r="41" spans="1:17" x14ac:dyDescent="0.3">
      <c r="C41" s="23" t="s">
        <v>761</v>
      </c>
      <c r="D41" s="9">
        <v>43.875</v>
      </c>
      <c r="E41" s="9">
        <v>170.59090909090909</v>
      </c>
      <c r="F41" s="9">
        <v>88.954545454545453</v>
      </c>
      <c r="G41" s="9">
        <v>7369.625</v>
      </c>
      <c r="H41" s="9">
        <v>8851.045454545454</v>
      </c>
      <c r="I41" s="9">
        <v>4991.090909090909</v>
      </c>
      <c r="J41" s="9">
        <v>116.55769230769231</v>
      </c>
      <c r="K41" s="9">
        <v>6990.0769230769229</v>
      </c>
    </row>
    <row r="42" spans="1:17" x14ac:dyDescent="0.3">
      <c r="C42" s="23" t="s">
        <v>762</v>
      </c>
      <c r="D42" s="9">
        <v>171.31578947368422</v>
      </c>
      <c r="E42" s="9">
        <v>441.6</v>
      </c>
      <c r="F42" s="9">
        <v>22.684210526315791</v>
      </c>
      <c r="G42" s="9">
        <v>7795.7894736842109</v>
      </c>
      <c r="H42" s="9">
        <v>8325.2000000000007</v>
      </c>
      <c r="I42" s="9">
        <v>2781.5263157894738</v>
      </c>
      <c r="J42" s="9">
        <v>215.82758620689654</v>
      </c>
      <c r="K42" s="9">
        <v>6335.7413793103451</v>
      </c>
    </row>
    <row r="43" spans="1:17" x14ac:dyDescent="0.3">
      <c r="C43" s="23" t="s">
        <v>763</v>
      </c>
      <c r="D43" s="9">
        <v>245.10526315789474</v>
      </c>
      <c r="E43" s="9">
        <v>321.1904761904762</v>
      </c>
      <c r="F43" s="9">
        <v>21.454545454545453</v>
      </c>
      <c r="G43" s="9">
        <v>7945.3684210526317</v>
      </c>
      <c r="H43" s="9">
        <v>8382.6666666666661</v>
      </c>
      <c r="I43" s="9">
        <v>2164.4545454545455</v>
      </c>
      <c r="J43" s="9">
        <v>191.51612903225808</v>
      </c>
      <c r="K43" s="9">
        <v>6042.1935483870966</v>
      </c>
    </row>
    <row r="44" spans="1:17" x14ac:dyDescent="0.3">
      <c r="C44" s="23" t="s">
        <v>764</v>
      </c>
      <c r="D44" s="9">
        <v>250.1904761904762</v>
      </c>
      <c r="E44" s="9">
        <v>309.18181818181819</v>
      </c>
      <c r="F44" s="9">
        <v>24.869565217391305</v>
      </c>
      <c r="G44" s="9">
        <v>7842.666666666667</v>
      </c>
      <c r="H44" s="9">
        <v>7027.136363636364</v>
      </c>
      <c r="I44" s="9">
        <v>2273.1304347826085</v>
      </c>
      <c r="J44" s="9">
        <v>191.33333333333334</v>
      </c>
      <c r="K44" s="9">
        <v>5629.924242424242</v>
      </c>
    </row>
    <row r="45" spans="1:17" x14ac:dyDescent="0.3">
      <c r="C45" s="23" t="s">
        <v>765</v>
      </c>
      <c r="D45" s="9">
        <v>216.95454545454547</v>
      </c>
      <c r="E45" s="9">
        <v>345.76190476190476</v>
      </c>
      <c r="F45" s="9">
        <v>1028.875</v>
      </c>
      <c r="G45" s="9">
        <v>8187.136363636364</v>
      </c>
      <c r="H45" s="9">
        <v>7490.2857142857147</v>
      </c>
      <c r="I45" s="9">
        <v>2228.35</v>
      </c>
      <c r="J45" s="9">
        <v>640.83132530120486</v>
      </c>
      <c r="K45" s="9">
        <v>5139.1204819277109</v>
      </c>
    </row>
    <row r="46" spans="1:17" x14ac:dyDescent="0.3">
      <c r="C46" s="23" t="s">
        <v>766</v>
      </c>
      <c r="D46" s="9">
        <v>145.65</v>
      </c>
      <c r="E46" s="9">
        <v>283.95238095238096</v>
      </c>
      <c r="F46" s="9">
        <v>19.058823529411764</v>
      </c>
      <c r="G46" s="9">
        <v>6136.45</v>
      </c>
      <c r="H46" s="9">
        <v>7407.5238095238092</v>
      </c>
      <c r="I46" s="9">
        <v>2492.4117647058824</v>
      </c>
      <c r="J46" s="9">
        <v>158.62068965517241</v>
      </c>
      <c r="K46" s="9">
        <v>5528.5862068965516</v>
      </c>
    </row>
    <row r="47" spans="1:17" x14ac:dyDescent="0.3">
      <c r="C47" s="23" t="s">
        <v>767</v>
      </c>
      <c r="D47" s="9">
        <v>245.28571428571428</v>
      </c>
      <c r="E47" s="9">
        <v>212.42857142857142</v>
      </c>
      <c r="F47" s="9">
        <v>13.952380952380953</v>
      </c>
      <c r="G47" s="9">
        <v>6828.0952380952385</v>
      </c>
      <c r="H47" s="9">
        <v>6286.333333333333</v>
      </c>
      <c r="I47" s="9">
        <v>2187.1904761904761</v>
      </c>
      <c r="J47" s="9">
        <v>157.22222222222223</v>
      </c>
      <c r="K47" s="9">
        <v>5100.5396825396829</v>
      </c>
    </row>
    <row r="48" spans="1:17" x14ac:dyDescent="0.3">
      <c r="C48" s="23" t="s">
        <v>768</v>
      </c>
      <c r="D48" s="9">
        <v>237.2</v>
      </c>
      <c r="E48" s="9">
        <v>254.47368421052633</v>
      </c>
      <c r="F48" s="9">
        <v>25.6</v>
      </c>
      <c r="G48" s="9">
        <v>9347.9</v>
      </c>
      <c r="H48" s="9">
        <v>6004.2631578947367</v>
      </c>
      <c r="I48" s="9">
        <v>2001.3</v>
      </c>
      <c r="J48" s="9">
        <v>171.03389830508473</v>
      </c>
      <c r="K48" s="9">
        <v>5780.7627118644068</v>
      </c>
    </row>
    <row r="49" spans="3:11" x14ac:dyDescent="0.3">
      <c r="C49" s="23" t="s">
        <v>769</v>
      </c>
      <c r="D49" s="9">
        <v>291.05263157894734</v>
      </c>
      <c r="E49" s="9">
        <v>239.22727272727272</v>
      </c>
      <c r="F49" s="9"/>
      <c r="G49" s="9">
        <v>10701.315789473685</v>
      </c>
      <c r="H49" s="9">
        <v>6213.409090909091</v>
      </c>
      <c r="I49" s="9"/>
      <c r="J49" s="9">
        <v>263.2439024390244</v>
      </c>
      <c r="K49" s="9">
        <v>8293.1707317073178</v>
      </c>
    </row>
    <row r="50" spans="3:11" x14ac:dyDescent="0.3">
      <c r="C50" s="23" t="s">
        <v>770</v>
      </c>
      <c r="D50" s="9">
        <v>102.90909090909091</v>
      </c>
      <c r="E50" s="9">
        <v>243.42857142857142</v>
      </c>
      <c r="F50" s="9">
        <v>34.333333333333336</v>
      </c>
      <c r="G50" s="9">
        <v>10205.318181818182</v>
      </c>
      <c r="H50" s="9">
        <v>6032.8571428571431</v>
      </c>
      <c r="I50" s="9">
        <v>2231.0476190476193</v>
      </c>
      <c r="J50" s="9">
        <v>126.515625</v>
      </c>
      <c r="K50" s="9">
        <v>6219.671875</v>
      </c>
    </row>
    <row r="51" spans="3:11" x14ac:dyDescent="0.3">
      <c r="C51" s="23" t="s">
        <v>771</v>
      </c>
      <c r="D51" s="9">
        <v>183.5</v>
      </c>
      <c r="E51" s="9">
        <v>236.73684210526315</v>
      </c>
      <c r="F51" s="9">
        <v>34.789473684210527</v>
      </c>
      <c r="G51" s="9">
        <v>9726.1</v>
      </c>
      <c r="H51" s="9">
        <v>5914.6842105263158</v>
      </c>
      <c r="I51" s="9">
        <v>2325.8947368421054</v>
      </c>
      <c r="J51" s="9">
        <v>152.22413793103448</v>
      </c>
      <c r="K51" s="9">
        <v>6053.3275862068967</v>
      </c>
    </row>
    <row r="52" spans="3:11" x14ac:dyDescent="0.3">
      <c r="C52" s="23" t="s">
        <v>772</v>
      </c>
      <c r="D52" s="9">
        <v>186.63157894736841</v>
      </c>
      <c r="E52" s="9">
        <v>271.72727272727275</v>
      </c>
      <c r="F52" s="9">
        <v>36.200000000000003</v>
      </c>
      <c r="G52" s="9">
        <v>11068.631578947368</v>
      </c>
      <c r="H52" s="9">
        <v>6418.681818181818</v>
      </c>
      <c r="I52" s="9">
        <v>2445.2666666666669</v>
      </c>
      <c r="J52" s="9">
        <v>179.76785714285714</v>
      </c>
      <c r="K52" s="9">
        <v>6932.0357142857147</v>
      </c>
    </row>
    <row r="53" spans="3:11" x14ac:dyDescent="0.3">
      <c r="C53" s="23" t="s">
        <v>737</v>
      </c>
      <c r="D53" s="9">
        <v>200.46956521739131</v>
      </c>
      <c r="E53" s="9">
        <v>276.90438247011951</v>
      </c>
      <c r="F53" s="9">
        <v>199.3347280334728</v>
      </c>
      <c r="G53" s="9">
        <v>8646.0739130434777</v>
      </c>
      <c r="H53" s="9">
        <v>7042.9601593625493</v>
      </c>
      <c r="I53" s="9">
        <v>2542.8368200836821</v>
      </c>
      <c r="J53" s="9">
        <v>226.73888888888888</v>
      </c>
      <c r="K53" s="9">
        <v>6061.2749999999996</v>
      </c>
    </row>
  </sheetData>
  <mergeCells count="8">
    <mergeCell ref="C37:K37"/>
    <mergeCell ref="M3:Q3"/>
    <mergeCell ref="A1:Q1"/>
    <mergeCell ref="G20:K20"/>
    <mergeCell ref="A20:E20"/>
    <mergeCell ref="M20:Q20"/>
    <mergeCell ref="B3:F3"/>
    <mergeCell ref="H3:L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764B0-8487-4559-AC24-6CE159B23393}">
  <dimension ref="A1:W4"/>
  <sheetViews>
    <sheetView workbookViewId="0">
      <selection activeCell="H13" sqref="H13"/>
    </sheetView>
  </sheetViews>
  <sheetFormatPr defaultRowHeight="14.4" x14ac:dyDescent="0.3"/>
  <sheetData>
    <row r="1" spans="1:23" ht="22.2" x14ac:dyDescent="0.35">
      <c r="A1" s="43" t="s">
        <v>787</v>
      </c>
      <c r="B1" s="43"/>
      <c r="C1" s="43"/>
      <c r="D1" s="43"/>
      <c r="E1" s="43"/>
      <c r="F1" s="43"/>
      <c r="G1" s="43"/>
      <c r="H1" s="43"/>
      <c r="I1" s="43"/>
      <c r="J1" s="43"/>
      <c r="K1" s="43"/>
      <c r="L1" s="43"/>
      <c r="M1" s="43"/>
      <c r="N1" s="43"/>
      <c r="O1" s="43"/>
      <c r="P1" s="43"/>
      <c r="Q1" s="43"/>
      <c r="R1" s="43"/>
      <c r="S1" s="43"/>
      <c r="T1" s="43"/>
      <c r="U1" s="43"/>
      <c r="V1" s="43"/>
      <c r="W1" s="43"/>
    </row>
    <row r="2" spans="1:23" ht="20.399999999999999" x14ac:dyDescent="0.35">
      <c r="A2" s="25"/>
      <c r="B2" s="25"/>
      <c r="C2" s="25"/>
      <c r="D2" s="25"/>
      <c r="E2" s="25"/>
      <c r="F2" s="25"/>
      <c r="G2" s="25"/>
      <c r="H2" s="25"/>
      <c r="I2" s="25"/>
      <c r="J2" s="25"/>
      <c r="K2" s="25"/>
      <c r="L2" s="25"/>
      <c r="M2" s="25"/>
      <c r="N2" s="25"/>
      <c r="O2" s="25"/>
      <c r="P2" s="25"/>
      <c r="Q2" s="25"/>
      <c r="R2" s="25"/>
      <c r="S2" s="25"/>
      <c r="T2" s="25"/>
      <c r="U2" s="25"/>
      <c r="V2" s="25"/>
      <c r="W2" s="25"/>
    </row>
    <row r="3" spans="1:23" ht="22.2" x14ac:dyDescent="0.35">
      <c r="A3" s="24"/>
      <c r="B3" s="24"/>
      <c r="C3" s="24"/>
      <c r="D3" s="24"/>
      <c r="E3" s="24"/>
      <c r="F3" s="24"/>
      <c r="G3" s="24"/>
      <c r="H3" s="24"/>
      <c r="I3" s="24"/>
      <c r="J3" s="24"/>
      <c r="K3" s="24"/>
      <c r="L3" s="24"/>
      <c r="M3" s="24"/>
      <c r="N3" s="24"/>
      <c r="O3" s="24"/>
      <c r="P3" s="24"/>
      <c r="Q3" s="24"/>
      <c r="R3" s="24"/>
      <c r="S3" s="24"/>
      <c r="T3" s="24"/>
      <c r="U3" s="24"/>
      <c r="V3" s="24"/>
      <c r="W3" s="24"/>
    </row>
    <row r="4" spans="1:23" ht="21.6" customHeight="1" x14ac:dyDescent="0.35">
      <c r="A4" s="24"/>
      <c r="B4" s="24"/>
      <c r="C4" s="24"/>
      <c r="D4" s="24"/>
      <c r="E4" s="24"/>
      <c r="F4" s="24"/>
      <c r="G4" s="24"/>
      <c r="H4" s="24"/>
      <c r="I4" s="24"/>
      <c r="J4" s="24"/>
      <c r="K4" s="24"/>
      <c r="L4" s="24"/>
      <c r="M4" s="24"/>
      <c r="N4" s="24"/>
      <c r="O4" s="24"/>
      <c r="P4" s="24"/>
      <c r="Q4" s="24"/>
      <c r="R4" s="24"/>
      <c r="S4" s="24"/>
      <c r="T4" s="24"/>
      <c r="U4" s="24"/>
      <c r="V4" s="24"/>
      <c r="W4" s="24"/>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B4534-86E1-49D3-BB91-C5681BF7B781}">
  <dimension ref="C1:O24"/>
  <sheetViews>
    <sheetView showGridLines="0" tabSelected="1" topLeftCell="A10" workbookViewId="0">
      <selection activeCell="F7" sqref="F7"/>
    </sheetView>
  </sheetViews>
  <sheetFormatPr defaultRowHeight="14.4" x14ac:dyDescent="0.3"/>
  <cols>
    <col min="5" max="5" width="74.77734375" customWidth="1"/>
    <col min="6" max="6" width="11.6640625" bestFit="1" customWidth="1"/>
    <col min="7" max="7" width="13.6640625" bestFit="1" customWidth="1"/>
    <col min="8" max="8" width="15" bestFit="1" customWidth="1"/>
    <col min="9" max="9" width="14.5546875" bestFit="1" customWidth="1"/>
  </cols>
  <sheetData>
    <row r="1" spans="3:15" ht="33.6" x14ac:dyDescent="0.65">
      <c r="C1" s="53" t="s">
        <v>793</v>
      </c>
      <c r="D1" s="53"/>
      <c r="E1" s="53"/>
      <c r="F1" s="53"/>
      <c r="G1" s="53"/>
      <c r="H1" s="53"/>
      <c r="I1" s="53"/>
      <c r="J1" s="53"/>
      <c r="K1" s="53"/>
      <c r="L1" s="53"/>
      <c r="M1" s="42"/>
      <c r="N1" s="42"/>
      <c r="O1" s="42"/>
    </row>
    <row r="2" spans="3:15" ht="28.8" thickBot="1" x14ac:dyDescent="0.6">
      <c r="E2" s="40"/>
      <c r="F2" s="40"/>
      <c r="G2" s="40"/>
      <c r="H2" s="40"/>
      <c r="I2" s="40"/>
      <c r="J2" s="40"/>
    </row>
    <row r="3" spans="3:15" ht="21.6" thickBot="1" x14ac:dyDescent="0.35">
      <c r="E3" s="51" t="s">
        <v>799</v>
      </c>
      <c r="F3" s="52"/>
    </row>
    <row r="4" spans="3:15" ht="18" x14ac:dyDescent="0.35">
      <c r="E4" s="32" t="s">
        <v>788</v>
      </c>
      <c r="F4" s="26">
        <f>SUM(CLEAN_DATA!E2:E721)</f>
        <v>4364118</v>
      </c>
    </row>
    <row r="5" spans="3:15" ht="18" x14ac:dyDescent="0.35">
      <c r="E5" s="33" t="s">
        <v>789</v>
      </c>
      <c r="F5" s="29">
        <f>F11-F15</f>
        <v>-57704</v>
      </c>
      <c r="G5" s="11"/>
    </row>
    <row r="6" spans="3:15" ht="18" x14ac:dyDescent="0.35">
      <c r="E6" s="33" t="s">
        <v>790</v>
      </c>
      <c r="F6" s="27">
        <f>_xlfn.STDEV.S(CLEAN_DATA!E2:E721)</f>
        <v>2833.0701088001533</v>
      </c>
    </row>
    <row r="7" spans="3:15" ht="18" x14ac:dyDescent="0.35">
      <c r="E7" s="33" t="s">
        <v>791</v>
      </c>
      <c r="F7" s="30">
        <f>(SUM(CLEAN_DATA!B2:B721)-SUM(CLEAN_DATA!F2:F721))/COUNT(CLEAN_DATA!A2:A721)</f>
        <v>-80.144444444444446</v>
      </c>
    </row>
    <row r="8" spans="3:15" ht="18.600000000000001" thickBot="1" x14ac:dyDescent="0.4">
      <c r="E8" s="34" t="s">
        <v>792</v>
      </c>
      <c r="F8" s="28">
        <f>SUM(CLEAN_DATA!F2:F721)/SUM(CLEAN_DATA!B2:B721)</f>
        <v>1.8593426558846744</v>
      </c>
    </row>
    <row r="9" spans="3:15" x14ac:dyDescent="0.3">
      <c r="F9" s="9"/>
    </row>
    <row r="10" spans="3:15" x14ac:dyDescent="0.3">
      <c r="E10" s="3" t="s">
        <v>800</v>
      </c>
      <c r="F10" s="6" t="s">
        <v>731</v>
      </c>
      <c r="G10" s="6" t="s">
        <v>732</v>
      </c>
      <c r="H10" s="6" t="s">
        <v>733</v>
      </c>
      <c r="I10" s="6" t="s">
        <v>734</v>
      </c>
    </row>
    <row r="11" spans="3:15" x14ac:dyDescent="0.3">
      <c r="E11" s="6" t="s">
        <v>727</v>
      </c>
      <c r="F11" s="3">
        <f>SUM(CLEAN_DATA!B2:B721)</f>
        <v>67149</v>
      </c>
      <c r="G11" s="35">
        <f>AVERAGE(CLEAN_DATA!B2:B721)</f>
        <v>95.927142857142854</v>
      </c>
      <c r="H11" s="3">
        <f>MAX(CLEAN_DATA!B2:B721)</f>
        <v>333</v>
      </c>
      <c r="I11" s="3">
        <f>MIN(CLEAN_DATA!B2:B721)</f>
        <v>0</v>
      </c>
    </row>
    <row r="12" spans="3:15" x14ac:dyDescent="0.3">
      <c r="E12" s="6" t="s">
        <v>728</v>
      </c>
      <c r="F12" s="3">
        <f>SUM(CLEAN_DATA!C2:C721)</f>
        <v>163252</v>
      </c>
      <c r="G12" s="35">
        <f>AVERAGE(CLEAN_DATA!C2:C721)</f>
        <v>226.73888888888888</v>
      </c>
      <c r="H12" s="3">
        <f>MAX(CLEAN_DATA!C2:C721)</f>
        <v>2025</v>
      </c>
      <c r="I12" s="3">
        <f>MIN(CLEAN_DATA!C2:C721)</f>
        <v>7</v>
      </c>
    </row>
    <row r="13" spans="3:15" x14ac:dyDescent="0.3">
      <c r="E13" s="6" t="s">
        <v>729</v>
      </c>
      <c r="F13" s="3">
        <f>SUM(CLEAN_DATA!D2:D721)</f>
        <v>92641</v>
      </c>
      <c r="G13" s="35">
        <f>AVERAGE(CLEAN_DATA!D2:D721)</f>
        <v>128.66805555555555</v>
      </c>
      <c r="H13" s="3">
        <f>MAX(CLEAN_DATA!D2:D721)</f>
        <v>440</v>
      </c>
      <c r="I13" s="3">
        <f>MIN(CLEAN_DATA!D2:D721)</f>
        <v>0</v>
      </c>
    </row>
    <row r="14" spans="3:15" x14ac:dyDescent="0.3">
      <c r="E14" s="6" t="s">
        <v>4</v>
      </c>
      <c r="F14" s="3">
        <f>SUM(CLEAN_DATA!E2:E721)</f>
        <v>4364118</v>
      </c>
      <c r="G14" s="35">
        <f>AVERAGE(CLEAN_DATA!E2:E721)</f>
        <v>6061.2749999999996</v>
      </c>
      <c r="H14" s="3">
        <f>MAX(CLEAN_DATA!E2:E721)</f>
        <v>11516</v>
      </c>
      <c r="I14" s="3">
        <f>MIN(CLEAN_DATA!E2:E721)</f>
        <v>1972</v>
      </c>
    </row>
    <row r="15" spans="3:15" x14ac:dyDescent="0.3">
      <c r="E15" s="6" t="s">
        <v>730</v>
      </c>
      <c r="F15" s="3">
        <f>SUM(CLEAN_DATA!F2:F721)</f>
        <v>124853</v>
      </c>
      <c r="G15" s="35">
        <f>AVERAGE(CLEAN_DATA!F2:F721)</f>
        <v>173.40694444444443</v>
      </c>
      <c r="H15" s="3">
        <f>MAX(CLEAN_DATA!F2:F721)</f>
        <v>505</v>
      </c>
      <c r="I15" s="3">
        <f>MIN(CLEAN_DATA!F2:F721)</f>
        <v>0</v>
      </c>
    </row>
    <row r="17" spans="4:5" ht="23.4" x14ac:dyDescent="0.3">
      <c r="D17" s="37"/>
      <c r="E17" s="41" t="s">
        <v>794</v>
      </c>
    </row>
    <row r="18" spans="4:5" x14ac:dyDescent="0.3">
      <c r="E18" s="31"/>
    </row>
    <row r="19" spans="4:5" ht="15.6" x14ac:dyDescent="0.3">
      <c r="D19" s="36" t="s">
        <v>801</v>
      </c>
      <c r="E19" s="38" t="s">
        <v>802</v>
      </c>
    </row>
    <row r="20" spans="4:5" ht="15.6" x14ac:dyDescent="0.3">
      <c r="D20" s="36" t="s">
        <v>801</v>
      </c>
      <c r="E20" s="39" t="s">
        <v>795</v>
      </c>
    </row>
    <row r="21" spans="4:5" ht="15.6" x14ac:dyDescent="0.3">
      <c r="D21" s="36" t="s">
        <v>801</v>
      </c>
      <c r="E21" s="39" t="s">
        <v>796</v>
      </c>
    </row>
    <row r="22" spans="4:5" ht="15.6" x14ac:dyDescent="0.3">
      <c r="D22" s="36" t="s">
        <v>801</v>
      </c>
      <c r="E22" s="39" t="s">
        <v>797</v>
      </c>
    </row>
    <row r="23" spans="4:5" ht="15.6" x14ac:dyDescent="0.3">
      <c r="D23" s="36" t="s">
        <v>801</v>
      </c>
      <c r="E23" s="39" t="s">
        <v>798</v>
      </c>
    </row>
    <row r="24" spans="4:5" ht="15.6" x14ac:dyDescent="0.3">
      <c r="D24" s="36" t="s">
        <v>801</v>
      </c>
      <c r="E24" s="39" t="s">
        <v>803</v>
      </c>
    </row>
  </sheetData>
  <mergeCells count="2">
    <mergeCell ref="E3:F3"/>
    <mergeCell ref="C1:L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PIVOT_TABLE</vt:lpstr>
      <vt:lpstr>PIVOT_CHART</vt:lpstr>
      <vt:lpstr>DATA_ANALYSIS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Sharmilee Manna</dc:creator>
  <cp:lastModifiedBy>Sharmilee Manna</cp:lastModifiedBy>
  <dcterms:created xsi:type="dcterms:W3CDTF">2026-07-26T08:18:14Z</dcterms:created>
  <dcterms:modified xsi:type="dcterms:W3CDTF">2026-07-29T08:48:33Z</dcterms:modified>
</cp:coreProperties>
</file>